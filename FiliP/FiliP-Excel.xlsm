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temp\susi\peter\FiliP-master\FiliP\"/>
    </mc:Choice>
  </mc:AlternateContent>
  <bookViews>
    <workbookView xWindow="0" yWindow="0" windowWidth="19200" windowHeight="11490" tabRatio="793" activeTab="1"/>
  </bookViews>
  <sheets>
    <sheet name="Simulationsergebnisse" sheetId="769" r:id="rId1"/>
    <sheet name="Personaldaten" sheetId="106" r:id="rId2"/>
    <sheet name="Urlaubsplan" sheetId="107" r:id="rId3"/>
    <sheet name="Dienstplan" sheetId="493" r:id="rId4"/>
    <sheet name="Wocheneinteilung" sheetId="494" r:id="rId5"/>
    <sheet name="Sonstiges" sheetId="460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6" i="769" l="1"/>
  <c r="L5" i="769"/>
  <c r="L4" i="769"/>
  <c r="L3" i="769"/>
  <c r="L2" i="769"/>
  <c r="I6" i="769"/>
  <c r="I5" i="769"/>
  <c r="I4" i="769"/>
  <c r="I3" i="769"/>
  <c r="I2" i="769"/>
  <c r="F6" i="769"/>
  <c r="F5" i="769"/>
  <c r="F4" i="769"/>
  <c r="F3" i="769"/>
  <c r="F2" i="769"/>
  <c r="C6" i="769"/>
  <c r="C5" i="769"/>
  <c r="C4" i="769"/>
  <c r="C3" i="769"/>
  <c r="C2" i="769"/>
</calcChain>
</file>

<file path=xl/sharedStrings.xml><?xml version="1.0" encoding="utf-8"?>
<sst xmlns="http://schemas.openxmlformats.org/spreadsheetml/2006/main" count="679" uniqueCount="493">
  <si>
    <t>Minimum</t>
  </si>
  <si>
    <t>1.Quartil</t>
  </si>
  <si>
    <t>Median</t>
  </si>
  <si>
    <t>3.Quartil</t>
  </si>
  <si>
    <t>Maximum</t>
  </si>
  <si>
    <t>1.Quartil-Minimum</t>
  </si>
  <si>
    <t>Median-1.Quartil</t>
  </si>
  <si>
    <t>3.Quartil-Median</t>
  </si>
  <si>
    <t>Maximum-3.Quartil</t>
  </si>
  <si>
    <t>Name</t>
  </si>
  <si>
    <t>Vorname</t>
  </si>
  <si>
    <t>Personal-Nr.</t>
  </si>
  <si>
    <t>Berufsqualifikation</t>
  </si>
  <si>
    <t xml:space="preserve">Name </t>
  </si>
  <si>
    <t>Krankheitsdaten</t>
  </si>
  <si>
    <t>Mai</t>
  </si>
  <si>
    <t>Jan</t>
  </si>
  <si>
    <t>Feb</t>
  </si>
  <si>
    <t>Mrz</t>
  </si>
  <si>
    <t>Apr</t>
  </si>
  <si>
    <t>Jun</t>
  </si>
  <si>
    <t>Jul</t>
  </si>
  <si>
    <t>Aug</t>
  </si>
  <si>
    <t>Sep</t>
  </si>
  <si>
    <t>Okt</t>
  </si>
  <si>
    <t>Nov</t>
  </si>
  <si>
    <t>Dez</t>
  </si>
  <si>
    <t>Krank_Dauer</t>
  </si>
  <si>
    <t>Kann_Früh2</t>
  </si>
  <si>
    <t>Kann_Spät2</t>
  </si>
  <si>
    <t>Kann_Nacht</t>
  </si>
  <si>
    <t>SpringtEin_Früh2</t>
  </si>
  <si>
    <t>SpringtEin_Spät2</t>
  </si>
  <si>
    <t>SpringtEin_Nacht</t>
  </si>
  <si>
    <t>Kann_ Tag</t>
  </si>
  <si>
    <t>SpringtEin_Tag</t>
  </si>
  <si>
    <t>Ja</t>
  </si>
  <si>
    <t>Nein</t>
  </si>
  <si>
    <t>Setup</t>
  </si>
  <si>
    <t>Montag</t>
  </si>
  <si>
    <t>Dienstag</t>
  </si>
  <si>
    <t>Mittwoch</t>
  </si>
  <si>
    <t>Donnerstag</t>
  </si>
  <si>
    <t>Freitag</t>
  </si>
  <si>
    <t>Samstag</t>
  </si>
  <si>
    <t>Sonntag</t>
  </si>
  <si>
    <t>Früh2</t>
  </si>
  <si>
    <t>Tag</t>
  </si>
  <si>
    <t>Spät2</t>
  </si>
  <si>
    <t>Nacht</t>
  </si>
  <si>
    <t>Minimal</t>
  </si>
  <si>
    <t>Meistens</t>
  </si>
  <si>
    <t>Maximal</t>
  </si>
  <si>
    <t>Schichtzeiten</t>
  </si>
  <si>
    <t>Beginn der Schicht</t>
  </si>
  <si>
    <t>Schichten</t>
  </si>
  <si>
    <t>Pflegefachkraft</t>
  </si>
  <si>
    <t>Erster Tag im Jahr</t>
  </si>
  <si>
    <t>38,5</t>
  </si>
  <si>
    <t>0,45</t>
  </si>
  <si>
    <t>Schaltjahr</t>
  </si>
  <si>
    <t>Kennzahl (ID)</t>
  </si>
  <si>
    <t>Soll-Belastung</t>
  </si>
  <si>
    <t>Vollzeit-Wochenstunden</t>
  </si>
  <si>
    <t>Schwellenwerte</t>
  </si>
  <si>
    <t>Kennzahl(ID)</t>
  </si>
  <si>
    <t>Schichtbesetzung</t>
  </si>
  <si>
    <t>Schwankungsfallgewicht</t>
  </si>
  <si>
    <t>Plan-Korrektur</t>
  </si>
  <si>
    <t>10.Jan</t>
  </si>
  <si>
    <t>11.Jan</t>
  </si>
  <si>
    <t>12.Jan</t>
  </si>
  <si>
    <t>13.Jan</t>
  </si>
  <si>
    <t>14.Jan</t>
  </si>
  <si>
    <t>15.Jan</t>
  </si>
  <si>
    <t>16.Jan</t>
  </si>
  <si>
    <t>17.Jan</t>
  </si>
  <si>
    <t>18.Jan</t>
  </si>
  <si>
    <t>19.Jan</t>
  </si>
  <si>
    <t>20.Jan</t>
  </si>
  <si>
    <t>21.Jan</t>
  </si>
  <si>
    <t>22.Jan</t>
  </si>
  <si>
    <t>23.Jan</t>
  </si>
  <si>
    <t>24.Jan</t>
  </si>
  <si>
    <t>25.Jan</t>
  </si>
  <si>
    <t>26.Jan</t>
  </si>
  <si>
    <t>27.Jan</t>
  </si>
  <si>
    <t>28.Jan</t>
  </si>
  <si>
    <t>29.Jan</t>
  </si>
  <si>
    <t>30.Jan</t>
  </si>
  <si>
    <t>31.Jan</t>
  </si>
  <si>
    <t>10.Feb</t>
  </si>
  <si>
    <t>11.Feb</t>
  </si>
  <si>
    <t>12.Feb</t>
  </si>
  <si>
    <t>13.Feb</t>
  </si>
  <si>
    <t>14.Feb</t>
  </si>
  <si>
    <t>15.Feb</t>
  </si>
  <si>
    <t>16.Feb</t>
  </si>
  <si>
    <t>17.Feb</t>
  </si>
  <si>
    <t>18.Feb</t>
  </si>
  <si>
    <t>19.Feb</t>
  </si>
  <si>
    <t>20.Feb</t>
  </si>
  <si>
    <t>21.Feb</t>
  </si>
  <si>
    <t>22.Feb</t>
  </si>
  <si>
    <t>23.Feb</t>
  </si>
  <si>
    <t>24.Feb</t>
  </si>
  <si>
    <t>25.Feb</t>
  </si>
  <si>
    <t>26.Feb</t>
  </si>
  <si>
    <t>27.Feb</t>
  </si>
  <si>
    <t>28.Feb</t>
  </si>
  <si>
    <t>10.Mrz</t>
  </si>
  <si>
    <t>11.Mrz</t>
  </si>
  <si>
    <t>12.Mrz</t>
  </si>
  <si>
    <t>13.Mrz</t>
  </si>
  <si>
    <t>14.Mrz</t>
  </si>
  <si>
    <t>15.Mrz</t>
  </si>
  <si>
    <t>16.Mrz</t>
  </si>
  <si>
    <t>17.Mrz</t>
  </si>
  <si>
    <t>18.Mrz</t>
  </si>
  <si>
    <t>19.Mrz</t>
  </si>
  <si>
    <t>20.Mrz</t>
  </si>
  <si>
    <t>21.Mrz</t>
  </si>
  <si>
    <t>22.Mrz</t>
  </si>
  <si>
    <t>23.Mrz</t>
  </si>
  <si>
    <t>24.Mrz</t>
  </si>
  <si>
    <t>25.Mrz</t>
  </si>
  <si>
    <t>26.Mrz</t>
  </si>
  <si>
    <t>27.Mrz</t>
  </si>
  <si>
    <t>28.Mrz</t>
  </si>
  <si>
    <t>29.Mrz</t>
  </si>
  <si>
    <t>30.Mrz</t>
  </si>
  <si>
    <t>31.Mrz</t>
  </si>
  <si>
    <t>10.Apr</t>
  </si>
  <si>
    <t>11.Apr</t>
  </si>
  <si>
    <t>12.Apr</t>
  </si>
  <si>
    <t>13.Apr</t>
  </si>
  <si>
    <t>14.Apr</t>
  </si>
  <si>
    <t>15.Apr</t>
  </si>
  <si>
    <t>16.Apr</t>
  </si>
  <si>
    <t>17.Apr</t>
  </si>
  <si>
    <t>18.Apr</t>
  </si>
  <si>
    <t>19.Apr</t>
  </si>
  <si>
    <t>20.Apr</t>
  </si>
  <si>
    <t>21.Apr</t>
  </si>
  <si>
    <t>22.Apr</t>
  </si>
  <si>
    <t>23.Apr</t>
  </si>
  <si>
    <t>24.Apr</t>
  </si>
  <si>
    <t>25.Apr</t>
  </si>
  <si>
    <t>26.Apr</t>
  </si>
  <si>
    <t>27.Apr</t>
  </si>
  <si>
    <t>28.Apr</t>
  </si>
  <si>
    <t>29.Apr</t>
  </si>
  <si>
    <t>30.Apr</t>
  </si>
  <si>
    <t>10.Mai</t>
  </si>
  <si>
    <t>11.Mai</t>
  </si>
  <si>
    <t>12.Mai</t>
  </si>
  <si>
    <t>13.Mai</t>
  </si>
  <si>
    <t>14.Mai</t>
  </si>
  <si>
    <t>15.Mai</t>
  </si>
  <si>
    <t>16.Mai</t>
  </si>
  <si>
    <t>17.Mai</t>
  </si>
  <si>
    <t>18.Mai</t>
  </si>
  <si>
    <t>19.Mai</t>
  </si>
  <si>
    <t>20.Mai</t>
  </si>
  <si>
    <t>21.Mai</t>
  </si>
  <si>
    <t>22.Mai</t>
  </si>
  <si>
    <t>23.Mai</t>
  </si>
  <si>
    <t>24.Mai</t>
  </si>
  <si>
    <t>25.Mai</t>
  </si>
  <si>
    <t>26.Mai</t>
  </si>
  <si>
    <t>27.Mai</t>
  </si>
  <si>
    <t>28.Mai</t>
  </si>
  <si>
    <t>29.Mai</t>
  </si>
  <si>
    <t>30.Mai</t>
  </si>
  <si>
    <t>31.Mai</t>
  </si>
  <si>
    <t>10.Jun</t>
  </si>
  <si>
    <t>11.Jun</t>
  </si>
  <si>
    <t>12.Jun</t>
  </si>
  <si>
    <t>13.Jun</t>
  </si>
  <si>
    <t>14.Jun</t>
  </si>
  <si>
    <t>15.Jun</t>
  </si>
  <si>
    <t>16.Jun</t>
  </si>
  <si>
    <t>17.Jun</t>
  </si>
  <si>
    <t>18.Jun</t>
  </si>
  <si>
    <t>19.Jun</t>
  </si>
  <si>
    <t>20.Jun</t>
  </si>
  <si>
    <t>21.Jun</t>
  </si>
  <si>
    <t>22.Jun</t>
  </si>
  <si>
    <t>23.Jun</t>
  </si>
  <si>
    <t>24.Jun</t>
  </si>
  <si>
    <t>25.Jun</t>
  </si>
  <si>
    <t>26.Jun</t>
  </si>
  <si>
    <t>27.Jun</t>
  </si>
  <si>
    <t>28.Jun</t>
  </si>
  <si>
    <t>29.Jun</t>
  </si>
  <si>
    <t>30.Jun</t>
  </si>
  <si>
    <t>10.Jul</t>
  </si>
  <si>
    <t>11.Jul</t>
  </si>
  <si>
    <t>12.Jul</t>
  </si>
  <si>
    <t>13.Jul</t>
  </si>
  <si>
    <t>14.Jul</t>
  </si>
  <si>
    <t>15.Jul</t>
  </si>
  <si>
    <t>16.Jul</t>
  </si>
  <si>
    <t>17.Jul</t>
  </si>
  <si>
    <t>18.Jul</t>
  </si>
  <si>
    <t>19.Jul</t>
  </si>
  <si>
    <t>20.Jul</t>
  </si>
  <si>
    <t>21.Jul</t>
  </si>
  <si>
    <t>22.Jul</t>
  </si>
  <si>
    <t>23.Jul</t>
  </si>
  <si>
    <t>24.Jul</t>
  </si>
  <si>
    <t>25.Jul</t>
  </si>
  <si>
    <t>26.Jul</t>
  </si>
  <si>
    <t>27.Jul</t>
  </si>
  <si>
    <t>28.Jul</t>
  </si>
  <si>
    <t>29.Jul</t>
  </si>
  <si>
    <t>30.Jul</t>
  </si>
  <si>
    <t>31.Jul</t>
  </si>
  <si>
    <t>10.Aug</t>
  </si>
  <si>
    <t>11.Aug</t>
  </si>
  <si>
    <t>12.Aug</t>
  </si>
  <si>
    <t>13.Aug</t>
  </si>
  <si>
    <t>14.Aug</t>
  </si>
  <si>
    <t>15.Aug</t>
  </si>
  <si>
    <t>16.Aug</t>
  </si>
  <si>
    <t>17.Aug</t>
  </si>
  <si>
    <t>18.Aug</t>
  </si>
  <si>
    <t>19.Aug</t>
  </si>
  <si>
    <t>20.Aug</t>
  </si>
  <si>
    <t>21.Aug</t>
  </si>
  <si>
    <t>22.Aug</t>
  </si>
  <si>
    <t>23.Aug</t>
  </si>
  <si>
    <t>24.Aug</t>
  </si>
  <si>
    <t>25.Aug</t>
  </si>
  <si>
    <t>26.Aug</t>
  </si>
  <si>
    <t>27.Aug</t>
  </si>
  <si>
    <t>28.Aug</t>
  </si>
  <si>
    <t>29.Aug</t>
  </si>
  <si>
    <t>30.Aug</t>
  </si>
  <si>
    <t>31.Aug</t>
  </si>
  <si>
    <t>10.Sep</t>
  </si>
  <si>
    <t>11.Sep</t>
  </si>
  <si>
    <t>12.Sep</t>
  </si>
  <si>
    <t>13.Sep</t>
  </si>
  <si>
    <t>14.Sep</t>
  </si>
  <si>
    <t>15.Sep</t>
  </si>
  <si>
    <t>16.Sep</t>
  </si>
  <si>
    <t>17.Sep</t>
  </si>
  <si>
    <t>18.Sep</t>
  </si>
  <si>
    <t>19.Sep</t>
  </si>
  <si>
    <t>20.Sep</t>
  </si>
  <si>
    <t>21.Sep</t>
  </si>
  <si>
    <t>22.Sep</t>
  </si>
  <si>
    <t>23.Sep</t>
  </si>
  <si>
    <t>24.Sep</t>
  </si>
  <si>
    <t>25.Sep</t>
  </si>
  <si>
    <t>26.Sep</t>
  </si>
  <si>
    <t>27.Sep</t>
  </si>
  <si>
    <t>28.Sep</t>
  </si>
  <si>
    <t>29.Sep</t>
  </si>
  <si>
    <t>30.Sep</t>
  </si>
  <si>
    <t>10.Okt</t>
  </si>
  <si>
    <t>11.Okt</t>
  </si>
  <si>
    <t>12.Okt</t>
  </si>
  <si>
    <t>13.Okt</t>
  </si>
  <si>
    <t>14.Okt</t>
  </si>
  <si>
    <t>15.Okt</t>
  </si>
  <si>
    <t>16.Okt</t>
  </si>
  <si>
    <t>17.Okt</t>
  </si>
  <si>
    <t>18.Okt</t>
  </si>
  <si>
    <t>19.Okt</t>
  </si>
  <si>
    <t>20.Okt</t>
  </si>
  <si>
    <t>21.Okt</t>
  </si>
  <si>
    <t>22.Okt</t>
  </si>
  <si>
    <t>23.Okt</t>
  </si>
  <si>
    <t>24.Okt</t>
  </si>
  <si>
    <t>25.Okt</t>
  </si>
  <si>
    <t>26.Okt</t>
  </si>
  <si>
    <t>27.Okt</t>
  </si>
  <si>
    <t>28.Okt</t>
  </si>
  <si>
    <t>29.Okt</t>
  </si>
  <si>
    <t>30.Okt</t>
  </si>
  <si>
    <t>31.Okt</t>
  </si>
  <si>
    <t>10.Nov</t>
  </si>
  <si>
    <t>11.Nov</t>
  </si>
  <si>
    <t>12.Nov</t>
  </si>
  <si>
    <t>13.Nov</t>
  </si>
  <si>
    <t>14.Nov</t>
  </si>
  <si>
    <t>15.Nov</t>
  </si>
  <si>
    <t>16.Nov</t>
  </si>
  <si>
    <t>17.Nov</t>
  </si>
  <si>
    <t>18.Nov</t>
  </si>
  <si>
    <t>19.Nov</t>
  </si>
  <si>
    <t>20.Nov</t>
  </si>
  <si>
    <t>21.Nov</t>
  </si>
  <si>
    <t>22.Nov</t>
  </si>
  <si>
    <t>23.Nov</t>
  </si>
  <si>
    <t>24.Nov</t>
  </si>
  <si>
    <t>25.Nov</t>
  </si>
  <si>
    <t>26.Nov</t>
  </si>
  <si>
    <t>27.Nov</t>
  </si>
  <si>
    <t>28.Nov</t>
  </si>
  <si>
    <t>29.Nov</t>
  </si>
  <si>
    <t>30.Nov</t>
  </si>
  <si>
    <t>1.Dez</t>
  </si>
  <si>
    <t>10.Dez</t>
  </si>
  <si>
    <t>11.Dez</t>
  </si>
  <si>
    <t>12.Dez</t>
  </si>
  <si>
    <t>13.Dez</t>
  </si>
  <si>
    <t>14.Dez</t>
  </si>
  <si>
    <t>15.Dez</t>
  </si>
  <si>
    <t>16.Dez</t>
  </si>
  <si>
    <t>17.Dez</t>
  </si>
  <si>
    <t>18.Dez</t>
  </si>
  <si>
    <t>19.Dez</t>
  </si>
  <si>
    <t>20.Dez</t>
  </si>
  <si>
    <t>21.Dez</t>
  </si>
  <si>
    <t>22.Dez</t>
  </si>
  <si>
    <t>23.Dez</t>
  </si>
  <si>
    <t>24.Dez</t>
  </si>
  <si>
    <t>25.Dez</t>
  </si>
  <si>
    <t>26.Dez</t>
  </si>
  <si>
    <t>27.Dez</t>
  </si>
  <si>
    <t>28.Dez</t>
  </si>
  <si>
    <t>29.Dez</t>
  </si>
  <si>
    <t>30.Dez</t>
  </si>
  <si>
    <t>31.Dez</t>
  </si>
  <si>
    <t>03.Apr</t>
  </si>
  <si>
    <t>01.Jan</t>
  </si>
  <si>
    <t>02.Jan</t>
  </si>
  <si>
    <t>03.Jan</t>
  </si>
  <si>
    <t>04.Jan</t>
  </si>
  <si>
    <t>05.Jan</t>
  </si>
  <si>
    <t>06.Jan</t>
  </si>
  <si>
    <t>07.Jan</t>
  </si>
  <si>
    <t>08.Jan</t>
  </si>
  <si>
    <t>09.Jan</t>
  </si>
  <si>
    <t>01.Feb</t>
  </si>
  <si>
    <t>02.Feb</t>
  </si>
  <si>
    <t>03.Feb</t>
  </si>
  <si>
    <t>04.Feb</t>
  </si>
  <si>
    <t>05.Feb</t>
  </si>
  <si>
    <t>06.Feb</t>
  </si>
  <si>
    <t>07.Feb</t>
  </si>
  <si>
    <t>08.Feb</t>
  </si>
  <si>
    <t>09.Feb</t>
  </si>
  <si>
    <t>01.Mrz</t>
  </si>
  <si>
    <t>02.Mrz</t>
  </si>
  <si>
    <t>03.Mrz</t>
  </si>
  <si>
    <t>04.Mrz</t>
  </si>
  <si>
    <t>05.Mrz</t>
  </si>
  <si>
    <t>06.Mrz</t>
  </si>
  <si>
    <t>07.Mrz</t>
  </si>
  <si>
    <t>08.Mrz</t>
  </si>
  <si>
    <t>09.Mrz</t>
  </si>
  <si>
    <t>01.Apr</t>
  </si>
  <si>
    <t>02.Apr</t>
  </si>
  <si>
    <t>04.Apr</t>
  </si>
  <si>
    <t>05.Apr</t>
  </si>
  <si>
    <t>06.Apr</t>
  </si>
  <si>
    <t>07.Apr</t>
  </si>
  <si>
    <t>08.Apr</t>
  </si>
  <si>
    <t>09.Apr</t>
  </si>
  <si>
    <t>01.Mai</t>
  </si>
  <si>
    <t>02.Mai</t>
  </si>
  <si>
    <t>03.Mai</t>
  </si>
  <si>
    <t>04.Mai</t>
  </si>
  <si>
    <t>05.Mai</t>
  </si>
  <si>
    <t>06.Mai</t>
  </si>
  <si>
    <t>07.Mai</t>
  </si>
  <si>
    <t>08.Mai</t>
  </si>
  <si>
    <t>09.Mai</t>
  </si>
  <si>
    <t>01.Jun</t>
  </si>
  <si>
    <t>02.Jun</t>
  </si>
  <si>
    <t>03.Jun</t>
  </si>
  <si>
    <t>04.Jun</t>
  </si>
  <si>
    <t>05.Jun</t>
  </si>
  <si>
    <t>06.Jun</t>
  </si>
  <si>
    <t>07.Jun</t>
  </si>
  <si>
    <t>08.Jun</t>
  </si>
  <si>
    <t>09.Jun</t>
  </si>
  <si>
    <t>01.Jul</t>
  </si>
  <si>
    <t>02.Jul</t>
  </si>
  <si>
    <t>03.Jul</t>
  </si>
  <si>
    <t>04.Jul</t>
  </si>
  <si>
    <t>05.Jul</t>
  </si>
  <si>
    <t>06.Jul</t>
  </si>
  <si>
    <t>07.Jul</t>
  </si>
  <si>
    <t>08.Jul</t>
  </si>
  <si>
    <t>09.Jul</t>
  </si>
  <si>
    <t>01.Aug</t>
  </si>
  <si>
    <t>02.Aug</t>
  </si>
  <si>
    <t>03.Aug</t>
  </si>
  <si>
    <t>04.Aug</t>
  </si>
  <si>
    <t>05.Aug</t>
  </si>
  <si>
    <t>06.Aug</t>
  </si>
  <si>
    <t>07.Aug</t>
  </si>
  <si>
    <t>08.Aug</t>
  </si>
  <si>
    <t>09.Aug</t>
  </si>
  <si>
    <t>01.Sep</t>
  </si>
  <si>
    <t>02.Sep</t>
  </si>
  <si>
    <t>03.Sep</t>
  </si>
  <si>
    <t>04.Sep</t>
  </si>
  <si>
    <t>05.Sep</t>
  </si>
  <si>
    <t>06.Sep</t>
  </si>
  <si>
    <t>07.Sep</t>
  </si>
  <si>
    <t>08.Sep</t>
  </si>
  <si>
    <t>09.Sep</t>
  </si>
  <si>
    <t>01.Okt</t>
  </si>
  <si>
    <t>02.Okt</t>
  </si>
  <si>
    <t>03.Okt</t>
  </si>
  <si>
    <t>04.Okt</t>
  </si>
  <si>
    <t>05.Okt</t>
  </si>
  <si>
    <t>06.Okt</t>
  </si>
  <si>
    <t>07.Okt</t>
  </si>
  <si>
    <t>08.Okt</t>
  </si>
  <si>
    <t>09.Okt</t>
  </si>
  <si>
    <t>01.Nov</t>
  </si>
  <si>
    <t>02.Nov</t>
  </si>
  <si>
    <t>03.Nov</t>
  </si>
  <si>
    <t>04.Nov</t>
  </si>
  <si>
    <t>05.Nov</t>
  </si>
  <si>
    <t>06.Nov</t>
  </si>
  <si>
    <t>07.Nov</t>
  </si>
  <si>
    <t>08.Nov</t>
  </si>
  <si>
    <t>09.Nov</t>
  </si>
  <si>
    <t>01.Dez</t>
  </si>
  <si>
    <t>02.Dez</t>
  </si>
  <si>
    <t>03.Dez</t>
  </si>
  <si>
    <t>04.Dez</t>
  </si>
  <si>
    <t>05.Dez</t>
  </si>
  <si>
    <t>06.Dez</t>
  </si>
  <si>
    <t>07.Dez</t>
  </si>
  <si>
    <t>08.Dez</t>
  </si>
  <si>
    <t>09.Dez</t>
  </si>
  <si>
    <t>Stelle in %</t>
  </si>
  <si>
    <t xml:space="preserve">Einspringpool </t>
  </si>
  <si>
    <t>Zugriffsw'keit in %</t>
  </si>
  <si>
    <t>45</t>
  </si>
  <si>
    <t>Urlaubseinstellungen</t>
  </si>
  <si>
    <t>Max. Personen im Urlaub</t>
  </si>
  <si>
    <t>Max. Stellen im Urlaub</t>
  </si>
  <si>
    <t>Einstellungen-Urlaubsplan</t>
  </si>
  <si>
    <t>Früh</t>
  </si>
  <si>
    <t>Spät</t>
  </si>
  <si>
    <t>Kann_Früh</t>
  </si>
  <si>
    <t>Kann_Spät</t>
  </si>
  <si>
    <t>SpringtEin_Früh</t>
  </si>
  <si>
    <t>SpringtEin_Spät</t>
  </si>
  <si>
    <t>Pausendauer in Min</t>
  </si>
  <si>
    <t>22:00</t>
  </si>
  <si>
    <t>7:00</t>
  </si>
  <si>
    <t>Anzahl der freien Tage</t>
  </si>
  <si>
    <t>Periodizität</t>
  </si>
  <si>
    <t>Anzahl Urlaubswochen</t>
  </si>
  <si>
    <t>Woche 1</t>
  </si>
  <si>
    <t>Jedes 2.Wochenende frei</t>
  </si>
  <si>
    <t>29.Feb</t>
  </si>
  <si>
    <t>OUT</t>
  </si>
  <si>
    <t>W'keit_KrankDauer in %</t>
  </si>
  <si>
    <t>W'keit_MonatKrank in %</t>
  </si>
  <si>
    <t>6:00</t>
  </si>
  <si>
    <t>30</t>
  </si>
  <si>
    <t>Ende der Schicht</t>
  </si>
  <si>
    <t>14:00</t>
  </si>
  <si>
    <t>Erste freie /Arbeits-Woche</t>
  </si>
  <si>
    <t>Erster freier/ Arbeits-Tag</t>
  </si>
  <si>
    <t>Ersetzungsregel bei Defizit</t>
  </si>
  <si>
    <t>Station vor Pool</t>
  </si>
  <si>
    <t>Besetzungsdefizit Frühschicht</t>
  </si>
  <si>
    <t>Besetzungsdefizit Spätschicht</t>
  </si>
  <si>
    <t>Besetzungsdefizit Nachtschicht</t>
  </si>
  <si>
    <t>Besetzungsdefizit Gesamteschichten</t>
  </si>
  <si>
    <t>manuell</t>
  </si>
  <si>
    <t>Isabelle</t>
  </si>
  <si>
    <t>Herget</t>
  </si>
  <si>
    <t>Maja</t>
  </si>
  <si>
    <t>Preuss</t>
  </si>
  <si>
    <t>Pascal</t>
  </si>
  <si>
    <t>Helden</t>
  </si>
  <si>
    <t>Eleonore</t>
  </si>
  <si>
    <t>Tappe</t>
  </si>
  <si>
    <t>Irma</t>
  </si>
  <si>
    <t>Peppenhorst</t>
  </si>
  <si>
    <t>6</t>
  </si>
  <si>
    <t>Woche 2</t>
  </si>
  <si>
    <t>Victoria</t>
  </si>
  <si>
    <t>Gröppel</t>
  </si>
  <si>
    <t>0</t>
  </si>
  <si>
    <t>8:00</t>
  </si>
  <si>
    <t>16:00</t>
  </si>
  <si>
    <t>15:00</t>
  </si>
  <si>
    <t>24:00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</si>
</sst>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Arial"/>
      <family val="2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3" borderId="1" xfId="0" applyFont="1" applyFill="1" applyBorder="1"/>
    <xf numFmtId="0" fontId="0" fillId="0" borderId="0" xfId="0" applyAlignment="1">
      <alignment horizontal="center"/>
    </xf>
    <xf numFmtId="16" fontId="0" fillId="0" borderId="0" xfId="0" applyNumberFormat="1" applyAlignment="1"/>
    <xf numFmtId="0" fontId="0" fillId="0" borderId="2" xfId="0" applyFont="1" applyBorder="1"/>
    <xf numFmtId="16" fontId="0" fillId="0" borderId="2" xfId="0" applyNumberFormat="1" applyFont="1" applyBorder="1" applyAlignment="1"/>
    <xf numFmtId="0" fontId="0" fillId="0" borderId="2" xfId="0" applyBorder="1"/>
    <xf numFmtId="0" fontId="1" fillId="2" borderId="0" xfId="0" applyFont="1" applyFill="1" applyAlignment="1">
      <alignment horizontal="center"/>
    </xf>
    <xf numFmtId="0" fontId="0" fillId="0" borderId="0" xfId="0" applyBorder="1"/>
    <xf numFmtId="16" fontId="0" fillId="0" borderId="4" xfId="0" applyNumberFormat="1" applyFont="1" applyBorder="1" applyAlignment="1"/>
    <xf numFmtId="0" fontId="0" fillId="0" borderId="4" xfId="0" applyBorder="1"/>
    <xf numFmtId="0" fontId="5" fillId="0" borderId="0" xfId="0" applyFont="1" applyAlignment="1">
      <alignment horizontal="center"/>
    </xf>
    <xf numFmtId="0" fontId="0" fillId="0" borderId="6" xfId="0" applyBorder="1"/>
    <xf numFmtId="0" fontId="0" fillId="0" borderId="5" xfId="0" applyBorder="1"/>
    <xf numFmtId="0" fontId="0" fillId="4" borderId="2" xfId="0" applyFill="1" applyBorder="1"/>
    <xf numFmtId="0" fontId="0" fillId="3" borderId="2" xfId="0" applyFill="1" applyBorder="1"/>
    <xf numFmtId="0" fontId="0" fillId="0" borderId="2" xfId="0" applyFill="1" applyBorder="1"/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11" xfId="0" applyFill="1" applyBorder="1"/>
    <xf numFmtId="16" fontId="0" fillId="0" borderId="0" xfId="0" applyNumberFormat="1"/>
    <xf numFmtId="49" fontId="0" fillId="0" borderId="0" xfId="0" applyNumberFormat="1"/>
    <xf numFmtId="0" fontId="0" fillId="0" borderId="0" xfId="0" applyNumberFormat="1"/>
    <xf numFmtId="49" fontId="0" fillId="0" borderId="0" xfId="0" applyNumberFormat="1" applyAlignment="1">
      <alignment textRotation="67"/>
    </xf>
    <xf numFmtId="49" fontId="8" fillId="0" borderId="0" xfId="0" applyNumberFormat="1" applyFont="1" applyAlignment="1">
      <alignment textRotation="60"/>
    </xf>
    <xf numFmtId="0" fontId="0" fillId="3" borderId="6" xfId="0" applyFill="1" applyBorder="1"/>
    <xf numFmtId="0" fontId="0" fillId="0" borderId="0" xfId="0" applyFill="1" applyBorder="1"/>
    <xf numFmtId="0" fontId="0" fillId="0" borderId="12" xfId="0" applyFill="1" applyBorder="1"/>
    <xf numFmtId="0" fontId="0" fillId="6" borderId="0" xfId="0" applyFill="1" applyBorder="1"/>
    <xf numFmtId="0" fontId="0" fillId="6" borderId="0" xfId="0" applyFill="1"/>
    <xf numFmtId="0" fontId="0" fillId="6" borderId="3" xfId="0" applyFill="1" applyBorder="1"/>
    <xf numFmtId="0" fontId="0" fillId="6" borderId="7" xfId="0" applyFill="1" applyBorder="1"/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3" xfId="0" applyBorder="1"/>
    <xf numFmtId="0" fontId="5" fillId="0" borderId="7" xfId="0" applyFont="1" applyBorder="1"/>
    <xf numFmtId="0" fontId="5" fillId="0" borderId="7" xfId="0" applyFont="1" applyBorder="1" applyAlignment="1">
      <alignment horizontal="center"/>
    </xf>
    <xf numFmtId="0" fontId="0" fillId="0" borderId="14" xfId="0" applyBorder="1"/>
    <xf numFmtId="0" fontId="0" fillId="0" borderId="8" xfId="0" applyBorder="1"/>
    <xf numFmtId="0" fontId="0" fillId="0" borderId="9" xfId="0" applyBorder="1"/>
    <xf numFmtId="0" fontId="5" fillId="5" borderId="9" xfId="0" applyFont="1" applyFill="1" applyBorder="1" applyAlignment="1">
      <alignment horizontal="center"/>
    </xf>
    <xf numFmtId="0" fontId="5" fillId="0" borderId="14" xfId="0" applyFont="1" applyBorder="1"/>
    <xf numFmtId="0" fontId="5" fillId="5" borderId="7" xfId="0" applyFont="1" applyFill="1" applyBorder="1" applyAlignment="1">
      <alignment horizontal="center"/>
    </xf>
    <xf numFmtId="0" fontId="0" fillId="6" borderId="0" xfId="0" applyNumberFormat="1" applyFill="1" applyBorder="1"/>
    <xf numFmtId="0" fontId="5" fillId="0" borderId="15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6" fillId="0" borderId="0" xfId="0" applyFont="1" applyFill="1" applyBorder="1" applyAlignment="1"/>
    <xf numFmtId="0" fontId="0" fillId="0" borderId="0" xfId="0" applyFont="1" applyBorder="1"/>
    <xf numFmtId="16" fontId="0" fillId="0" borderId="0" xfId="0" applyNumberFormat="1" applyFont="1" applyBorder="1" applyAlignment="1"/>
    <xf numFmtId="0" fontId="7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0" fillId="6" borderId="2" xfId="0" applyFont="1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Frühschicht (5 Simulationen, 15 Tage)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val>
            <c:numRef>
              <c:f>Simulationsergebnisse!$C$10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7C-487A-A37C-5BCCD372ED56}"/>
            </c:ext>
          </c:extLst>
        </c:ser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errBars>
            <c:errBarType val="minus"/>
            <c:errValType val="percentage"/>
            <c:noEndCap val="0"/>
            <c:val val="100"/>
          </c:errBars>
          <c:val>
            <c:numRef>
              <c:f>Simulationsergebnisse!$C$11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7C-487A-A37C-5BCCD372ED56}"/>
            </c:ext>
          </c:extLst>
        </c:ser>
        <c:ser>
          <c:idx val="2"/>
          <c:order val="2"/>
          <c:spPr>
            <a:solidFill>
              <a:srgbClr val="0000FF"/>
            </a:solidFill>
          </c:spPr>
          <c:invertIfNegative val="0"/>
          <c:val>
            <c:numRef>
              <c:f>Simulationsergebnisse!$C$12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7C-487A-A37C-5BCCD372ED56}"/>
            </c:ext>
          </c:extLst>
        </c:ser>
        <c:ser>
          <c:idx val="3"/>
          <c:order val="3"/>
          <c:invertIfNegative val="0"/>
          <c:errBars>
            <c:errBarType val="plus"/>
            <c:errValType val="percentage"/>
            <c:noEndCap val="0"/>
            <c:val val="100"/>
          </c:errBars>
          <c:val>
            <c:numRef>
              <c:f>Simulationsergebnisse!$C$13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7C-487A-A37C-5BCCD372ED56}"/>
            </c:ext>
          </c:extLst>
        </c:ser>
        <c:ser>
          <c:idx val="4"/>
          <c:order val="4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val>
            <c:numRef>
              <c:f>Simulationsergebnisse!$C$14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7C-487A-A37C-5BCCD372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7412064"/>
        <c:axId val="627413704"/>
      </c:barChart>
      <c:catAx>
        <c:axId val="627412064"/>
        <c:scaling>
          <c:orientation val="minMax"/>
        </c:scaling>
        <c:delete val="1"/>
        <c:axPos val="l"/>
        <c:majorTickMark val="out"/>
        <c:minorTickMark val="none"/>
        <c:tickLblPos val="nextTo"/>
        <c:crossAx val="627413704"/>
        <c:crosses val="autoZero"/>
        <c:auto val="1"/>
        <c:lblAlgn val="ctr"/>
        <c:lblOffset val="100"/>
        <c:noMultiLvlLbl val="0"/>
      </c:catAx>
      <c:valAx>
        <c:axId val="6274137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Besetzungsdefizite in [Dienste]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741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Spätschicht (5 Simulationen, 15 Tage)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val>
            <c:numRef>
              <c:f>Simulationsergebnisse!$F$10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25-4F2B-B71C-9E8381B28D0D}"/>
            </c:ext>
          </c:extLst>
        </c:ser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errBars>
            <c:errBarType val="minus"/>
            <c:errValType val="percentage"/>
            <c:noEndCap val="0"/>
            <c:val val="100"/>
          </c:errBars>
          <c:val>
            <c:numRef>
              <c:f>Simulationsergebnisse!$F$11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25-4F2B-B71C-9E8381B28D0D}"/>
            </c:ext>
          </c:extLst>
        </c:ser>
        <c:ser>
          <c:idx val="2"/>
          <c:order val="2"/>
          <c:spPr>
            <a:solidFill>
              <a:srgbClr val="0000FF"/>
            </a:solidFill>
          </c:spPr>
          <c:invertIfNegative val="0"/>
          <c:val>
            <c:numRef>
              <c:f>Simulationsergebnisse!$F$12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25-4F2B-B71C-9E8381B28D0D}"/>
            </c:ext>
          </c:extLst>
        </c:ser>
        <c:ser>
          <c:idx val="3"/>
          <c:order val="3"/>
          <c:invertIfNegative val="0"/>
          <c:errBars>
            <c:errBarType val="plus"/>
            <c:errValType val="percentage"/>
            <c:noEndCap val="0"/>
            <c:val val="100"/>
          </c:errBars>
          <c:val>
            <c:numRef>
              <c:f>Simulationsergebnisse!$F$13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25-4F2B-B71C-9E8381B28D0D}"/>
            </c:ext>
          </c:extLst>
        </c:ser>
        <c:ser>
          <c:idx val="4"/>
          <c:order val="4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val>
            <c:numRef>
              <c:f>Simulationsergebnisse!$F$14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25-4F2B-B71C-9E8381B28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7414688"/>
        <c:axId val="627406816"/>
      </c:barChart>
      <c:catAx>
        <c:axId val="627414688"/>
        <c:scaling>
          <c:orientation val="minMax"/>
        </c:scaling>
        <c:delete val="1"/>
        <c:axPos val="l"/>
        <c:majorTickMark val="out"/>
        <c:minorTickMark val="none"/>
        <c:tickLblPos val="nextTo"/>
        <c:crossAx val="627406816"/>
        <c:crosses val="autoZero"/>
        <c:auto val="1"/>
        <c:lblAlgn val="ctr"/>
        <c:lblOffset val="100"/>
        <c:noMultiLvlLbl val="0"/>
      </c:catAx>
      <c:valAx>
        <c:axId val="6274068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Besetzungsdefizite in [Dienste]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7414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Nachtschicht (5 Simulationen, 15 Tage)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val>
            <c:numRef>
              <c:f>Simulationsergebnisse!$I$10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0A-4DAD-B20B-D7B233D48F3A}"/>
            </c:ext>
          </c:extLst>
        </c:ser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errBars>
            <c:errBarType val="minus"/>
            <c:errValType val="percentage"/>
            <c:noEndCap val="0"/>
            <c:val val="100"/>
          </c:errBars>
          <c:val>
            <c:numRef>
              <c:f>Simulationsergebnisse!$I$11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0A-4DAD-B20B-D7B233D48F3A}"/>
            </c:ext>
          </c:extLst>
        </c:ser>
        <c:ser>
          <c:idx val="2"/>
          <c:order val="2"/>
          <c:spPr>
            <a:solidFill>
              <a:srgbClr val="0000FF"/>
            </a:solidFill>
          </c:spPr>
          <c:invertIfNegative val="0"/>
          <c:val>
            <c:numRef>
              <c:f>Simulationsergebnisse!$I$12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0A-4DAD-B20B-D7B233D48F3A}"/>
            </c:ext>
          </c:extLst>
        </c:ser>
        <c:ser>
          <c:idx val="3"/>
          <c:order val="3"/>
          <c:invertIfNegative val="0"/>
          <c:errBars>
            <c:errBarType val="plus"/>
            <c:errValType val="percentage"/>
            <c:noEndCap val="0"/>
            <c:val val="100"/>
          </c:errBars>
          <c:val>
            <c:numRef>
              <c:f>Simulationsergebnisse!$I$13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0A-4DAD-B20B-D7B233D48F3A}"/>
            </c:ext>
          </c:extLst>
        </c:ser>
        <c:ser>
          <c:idx val="4"/>
          <c:order val="4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val>
            <c:numRef>
              <c:f>Simulationsergebnisse!$I$14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0A-4DAD-B20B-D7B233D48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7407144"/>
        <c:axId val="627412720"/>
      </c:barChart>
      <c:catAx>
        <c:axId val="627407144"/>
        <c:scaling>
          <c:orientation val="minMax"/>
        </c:scaling>
        <c:delete val="1"/>
        <c:axPos val="l"/>
        <c:majorTickMark val="out"/>
        <c:minorTickMark val="none"/>
        <c:tickLblPos val="nextTo"/>
        <c:crossAx val="627412720"/>
        <c:crosses val="autoZero"/>
        <c:auto val="1"/>
        <c:lblAlgn val="ctr"/>
        <c:lblOffset val="100"/>
        <c:noMultiLvlLbl val="0"/>
      </c:catAx>
      <c:valAx>
        <c:axId val="6274127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Besetzungsdefizite in [Dienste]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7407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Alle Schichten (5 Simulationen, 15 Tage)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5B9BD5"/>
                  </a:solidFill>
                </a14:hiddenFill>
              </a:ext>
            </a:extLst>
          </c:spPr>
          <c:invertIfNegative val="0"/>
          <c:val>
            <c:numRef>
              <c:f>Simulationsergebnisse!$L$10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D-4672-AC25-1DAAA659ECC5}"/>
            </c:ext>
          </c:extLst>
        </c:ser>
        <c:ser>
          <c:idx val="1"/>
          <c:order val="1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</a:extLst>
          </c:spPr>
          <c:invertIfNegative val="0"/>
          <c:errBars>
            <c:errBarType val="minus"/>
            <c:errValType val="percentage"/>
            <c:noEndCap val="0"/>
            <c:val val="100"/>
          </c:errBars>
          <c:val>
            <c:numRef>
              <c:f>Simulationsergebnisse!$L$11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9D-4672-AC25-1DAAA659ECC5}"/>
            </c:ext>
          </c:extLst>
        </c:ser>
        <c:ser>
          <c:idx val="2"/>
          <c:order val="2"/>
          <c:spPr>
            <a:solidFill>
              <a:srgbClr val="0000FF"/>
            </a:solidFill>
          </c:spPr>
          <c:invertIfNegative val="0"/>
          <c:val>
            <c:numRef>
              <c:f>Simulationsergebnisse!$L$12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9D-4672-AC25-1DAAA659ECC5}"/>
            </c:ext>
          </c:extLst>
        </c:ser>
        <c:ser>
          <c:idx val="3"/>
          <c:order val="3"/>
          <c:invertIfNegative val="0"/>
          <c:errBars>
            <c:errBarType val="plus"/>
            <c:errValType val="percentage"/>
            <c:noEndCap val="0"/>
            <c:val val="100"/>
          </c:errBars>
          <c:val>
            <c:numRef>
              <c:f>Simulationsergebnisse!$L$13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9D-4672-AC25-1DAAA659ECC5}"/>
            </c:ext>
          </c:extLst>
        </c:ser>
        <c:ser>
          <c:idx val="4"/>
          <c:order val="4"/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val>
            <c:numRef>
              <c:f>Simulationsergebnisse!$L$14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9D-4672-AC25-1DAAA659E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7410752"/>
        <c:axId val="627407472"/>
      </c:barChart>
      <c:catAx>
        <c:axId val="627410752"/>
        <c:scaling>
          <c:orientation val="minMax"/>
        </c:scaling>
        <c:delete val="1"/>
        <c:axPos val="l"/>
        <c:majorTickMark val="out"/>
        <c:minorTickMark val="none"/>
        <c:tickLblPos val="nextTo"/>
        <c:crossAx val="627407472"/>
        <c:crosses val="autoZero"/>
        <c:auto val="1"/>
        <c:lblAlgn val="ctr"/>
        <c:lblOffset val="100"/>
        <c:noMultiLvlLbl val="0"/>
      </c:catAx>
      <c:valAx>
        <c:axId val="6274074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Besetzungsdefizite in [Dienste]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7410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152400</xdr:rowOff>
    </xdr:from>
    <xdr:to>
      <xdr:col>8</xdr:col>
      <xdr:colOff>0</xdr:colOff>
      <xdr:row>18</xdr:row>
      <xdr:rowOff>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19050</xdr:colOff>
      <xdr:row>0</xdr:row>
      <xdr:rowOff>123825</xdr:rowOff>
    </xdr:from>
    <xdr:to>
      <xdr:col>19</xdr:col>
      <xdr:colOff>476250</xdr:colOff>
      <xdr:row>17</xdr:row>
      <xdr:rowOff>161925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19</xdr:row>
      <xdr:rowOff>9525</xdr:rowOff>
    </xdr:from>
    <xdr:to>
      <xdr:col>8</xdr:col>
      <xdr:colOff>19050</xdr:colOff>
      <xdr:row>36</xdr:row>
      <xdr:rowOff>47625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19050</xdr:colOff>
      <xdr:row>19</xdr:row>
      <xdr:rowOff>9525</xdr:rowOff>
    </xdr:from>
    <xdr:to>
      <xdr:col>19</xdr:col>
      <xdr:colOff>476250</xdr:colOff>
      <xdr:row>36</xdr:row>
      <xdr:rowOff>47625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Eingabemaske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4"/>
  <sheetViews>
    <sheetView workbookViewId="0"/>
  </sheetViews>
  <sheetFormatPr baseColWidth="10" defaultRowHeight="15" x14ac:dyDescent="0.25"/>
  <sheetData>
    <row r="1" spans="1:12" x14ac:dyDescent="0.25">
      <c r="A1" t="s">
        <v>469</v>
      </c>
      <c r="D1" t="s">
        <v>470</v>
      </c>
      <c r="G1" t="s">
        <v>471</v>
      </c>
      <c r="J1" t="s">
        <v>472</v>
      </c>
    </row>
    <row r="2" spans="1:12" x14ac:dyDescent="0.25">
      <c r="A2">
        <v>3</v>
      </c>
      <c r="B2" t="s">
        <v>0</v>
      </c>
      <c r="C2">
        <f>MIN(A2:A6)</f>
        <v>2</v>
      </c>
      <c r="D2">
        <v>2</v>
      </c>
      <c r="E2" t="s">
        <v>0</v>
      </c>
      <c r="F2">
        <f>MIN(D2:D6)</f>
        <v>2</v>
      </c>
      <c r="G2">
        <v>3</v>
      </c>
      <c r="H2" t="s">
        <v>0</v>
      </c>
      <c r="I2">
        <f>MIN(G2:G6)</f>
        <v>3</v>
      </c>
      <c r="J2">
        <v>8</v>
      </c>
      <c r="K2" t="s">
        <v>0</v>
      </c>
      <c r="L2">
        <f>MIN(J2:J6)</f>
        <v>7</v>
      </c>
    </row>
    <row r="3" spans="1:12" x14ac:dyDescent="0.25">
      <c r="A3">
        <v>2</v>
      </c>
      <c r="B3" t="s">
        <v>1</v>
      </c>
      <c r="C3">
        <f>_xlfn.QUARTILE.INC(A2:A6, 1)</f>
        <v>2</v>
      </c>
      <c r="D3">
        <v>2</v>
      </c>
      <c r="E3" t="s">
        <v>1</v>
      </c>
      <c r="F3">
        <f>_xlfn.QUARTILE.INC(D2:D6, 1)</f>
        <v>2</v>
      </c>
      <c r="G3">
        <v>3</v>
      </c>
      <c r="H3" t="s">
        <v>1</v>
      </c>
      <c r="I3">
        <f>_xlfn.QUARTILE.INC(G2:G6, 1)</f>
        <v>3</v>
      </c>
      <c r="J3">
        <v>7</v>
      </c>
      <c r="K3" t="s">
        <v>1</v>
      </c>
      <c r="L3">
        <f>_xlfn.QUARTILE.INC(J2:J6, 1)</f>
        <v>7</v>
      </c>
    </row>
    <row r="4" spans="1:12" x14ac:dyDescent="0.25">
      <c r="A4">
        <v>2</v>
      </c>
      <c r="B4" t="s">
        <v>2</v>
      </c>
      <c r="C4">
        <f>MEDIAN(A2:A6)</f>
        <v>2</v>
      </c>
      <c r="D4">
        <v>2</v>
      </c>
      <c r="E4" t="s">
        <v>2</v>
      </c>
      <c r="F4">
        <f>MEDIAN(D2:D6)</f>
        <v>2</v>
      </c>
      <c r="G4">
        <v>3</v>
      </c>
      <c r="H4" t="s">
        <v>2</v>
      </c>
      <c r="I4">
        <f>MEDIAN(G2:G6)</f>
        <v>3</v>
      </c>
      <c r="J4">
        <v>7</v>
      </c>
      <c r="K4" t="s">
        <v>2</v>
      </c>
      <c r="L4">
        <f>MEDIAN(J2:J6)</f>
        <v>7</v>
      </c>
    </row>
    <row r="5" spans="1:12" x14ac:dyDescent="0.25">
      <c r="A5">
        <v>2</v>
      </c>
      <c r="B5" t="s">
        <v>3</v>
      </c>
      <c r="C5">
        <f>_xlfn.QUARTILE.INC(A2:A6, 3)</f>
        <v>2</v>
      </c>
      <c r="D5">
        <v>2</v>
      </c>
      <c r="E5" t="s">
        <v>3</v>
      </c>
      <c r="F5">
        <f>_xlfn.QUARTILE.INC(D2:D6, 3)</f>
        <v>2</v>
      </c>
      <c r="G5">
        <v>3</v>
      </c>
      <c r="H5" t="s">
        <v>3</v>
      </c>
      <c r="I5">
        <f>_xlfn.QUARTILE.INC(G2:G6, 3)</f>
        <v>3</v>
      </c>
      <c r="J5">
        <v>7</v>
      </c>
      <c r="K5" t="s">
        <v>3</v>
      </c>
      <c r="L5">
        <f>_xlfn.QUARTILE.INC(J2:J6, 3)</f>
        <v>7</v>
      </c>
    </row>
    <row r="6" spans="1:12" x14ac:dyDescent="0.25">
      <c r="A6">
        <v>2</v>
      </c>
      <c r="B6" t="s">
        <v>4</v>
      </c>
      <c r="C6">
        <f>MAX(A2:A6)</f>
        <v>3</v>
      </c>
      <c r="D6">
        <v>2</v>
      </c>
      <c r="E6" t="s">
        <v>4</v>
      </c>
      <c r="F6">
        <f>MAX(D2:D6)</f>
        <v>2</v>
      </c>
      <c r="G6">
        <v>3</v>
      </c>
      <c r="H6" t="s">
        <v>4</v>
      </c>
      <c r="I6">
        <f>MAX(G2:G6)</f>
        <v>3</v>
      </c>
      <c r="J6">
        <v>7</v>
      </c>
      <c r="K6" t="s">
        <v>4</v>
      </c>
      <c r="L6">
        <f>MAX(J2:J6)</f>
        <v>8</v>
      </c>
    </row>
    <row r="10" spans="1:12" x14ac:dyDescent="0.25">
      <c r="B10" t="s">
        <v>0</v>
      </c>
      <c r="C10">
        <v>2</v>
      </c>
      <c r="E10" t="s">
        <v>0</v>
      </c>
      <c r="F10">
        <v>2</v>
      </c>
      <c r="H10" t="s">
        <v>0</v>
      </c>
      <c r="I10">
        <v>3</v>
      </c>
      <c r="K10" t="s">
        <v>0</v>
      </c>
      <c r="L10">
        <v>7</v>
      </c>
    </row>
    <row r="11" spans="1:12" x14ac:dyDescent="0.25">
      <c r="B11" t="s">
        <v>5</v>
      </c>
      <c r="C11">
        <v>0</v>
      </c>
      <c r="E11" t="s">
        <v>5</v>
      </c>
      <c r="F11">
        <v>0</v>
      </c>
      <c r="H11" t="s">
        <v>5</v>
      </c>
      <c r="I11">
        <v>0</v>
      </c>
      <c r="K11" t="s">
        <v>5</v>
      </c>
      <c r="L11">
        <v>0</v>
      </c>
    </row>
    <row r="12" spans="1:12" x14ac:dyDescent="0.25">
      <c r="B12" t="s">
        <v>6</v>
      </c>
      <c r="C12">
        <v>0</v>
      </c>
      <c r="E12" t="s">
        <v>6</v>
      </c>
      <c r="F12">
        <v>0</v>
      </c>
      <c r="H12" t="s">
        <v>6</v>
      </c>
      <c r="I12">
        <v>0</v>
      </c>
      <c r="K12" t="s">
        <v>6</v>
      </c>
      <c r="L12">
        <v>0</v>
      </c>
    </row>
    <row r="13" spans="1:12" x14ac:dyDescent="0.25">
      <c r="B13" t="s">
        <v>7</v>
      </c>
      <c r="C13">
        <v>0</v>
      </c>
      <c r="E13" t="s">
        <v>7</v>
      </c>
      <c r="F13">
        <v>0</v>
      </c>
      <c r="H13" t="s">
        <v>7</v>
      </c>
      <c r="I13">
        <v>0</v>
      </c>
      <c r="K13" t="s">
        <v>7</v>
      </c>
      <c r="L13">
        <v>0</v>
      </c>
    </row>
    <row r="14" spans="1:12" x14ac:dyDescent="0.25">
      <c r="B14" t="s">
        <v>8</v>
      </c>
      <c r="C14">
        <v>3</v>
      </c>
      <c r="E14" t="s">
        <v>8</v>
      </c>
      <c r="F14">
        <v>2</v>
      </c>
      <c r="H14" t="s">
        <v>8</v>
      </c>
      <c r="I14">
        <v>3</v>
      </c>
      <c r="K14" t="s">
        <v>8</v>
      </c>
      <c r="L14">
        <v>8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J16"/>
  <sheetViews>
    <sheetView tabSelected="1" zoomScale="93" zoomScaleNormal="93" workbookViewId="0">
      <selection activeCell="A9" sqref="A9"/>
    </sheetView>
  </sheetViews>
  <sheetFormatPr baseColWidth="10" defaultRowHeight="15" x14ac:dyDescent="0.25"/>
  <cols>
    <col min="1" max="1" width="21.5703125" customWidth="1"/>
    <col min="2" max="2" width="12.28515625" customWidth="1"/>
    <col min="3" max="3" width="16" customWidth="1"/>
    <col min="4" max="4" width="25.7109375" style="2" customWidth="1"/>
    <col min="5" max="5" width="11.7109375" style="2" customWidth="1"/>
    <col min="6" max="6" width="26.140625" style="2" customWidth="1"/>
    <col min="7" max="7" width="37.28515625" style="2" customWidth="1"/>
    <col min="8" max="8" width="33.5703125" customWidth="1"/>
    <col min="9" max="9" width="28" customWidth="1"/>
    <col min="10" max="10" width="27.7109375" customWidth="1"/>
  </cols>
  <sheetData>
    <row r="1" spans="1:10" ht="15" customHeight="1" x14ac:dyDescent="0.25"/>
    <row r="3" spans="1:10" ht="18.75" customHeight="1" x14ac:dyDescent="0.25"/>
    <row r="4" spans="1:10" ht="1.5" hidden="1" customHeight="1" x14ac:dyDescent="0.25"/>
    <row r="5" spans="1:10" hidden="1" x14ac:dyDescent="0.25"/>
    <row r="6" spans="1:10" ht="0.75" hidden="1" customHeight="1" x14ac:dyDescent="0.25"/>
    <row r="7" spans="1:10" ht="5.25" customHeight="1" x14ac:dyDescent="0.25"/>
    <row r="8" spans="1:10" x14ac:dyDescent="0.25">
      <c r="A8" s="7" t="s">
        <v>9</v>
      </c>
      <c r="B8" s="7" t="s">
        <v>10</v>
      </c>
      <c r="C8" s="7" t="s">
        <v>61</v>
      </c>
      <c r="D8" s="7" t="s">
        <v>12</v>
      </c>
      <c r="E8" s="7" t="s">
        <v>435</v>
      </c>
      <c r="F8" s="7" t="s">
        <v>454</v>
      </c>
      <c r="G8" s="7" t="s">
        <v>453</v>
      </c>
      <c r="H8" s="7" t="s">
        <v>452</v>
      </c>
      <c r="I8" s="7" t="s">
        <v>466</v>
      </c>
      <c r="J8" s="7" t="s">
        <v>465</v>
      </c>
    </row>
    <row r="9" spans="1:10" x14ac:dyDescent="0.25">
      <c r="A9" t="s">
        <v>474</v>
      </c>
      <c r="B9" t="s">
        <v>475</v>
      </c>
      <c r="C9">
        <v>14553</v>
      </c>
      <c r="D9" s="2" t="s">
        <v>56</v>
      </c>
      <c r="E9" s="2">
        <v>100</v>
      </c>
      <c r="F9" s="19" t="s">
        <v>484</v>
      </c>
      <c r="G9" s="2" t="s">
        <v>456</v>
      </c>
      <c r="H9">
        <v>2</v>
      </c>
      <c r="I9" t="s">
        <v>44</v>
      </c>
      <c r="J9" t="s">
        <v>455</v>
      </c>
    </row>
    <row r="10" spans="1:10" x14ac:dyDescent="0.25">
      <c r="A10" t="s">
        <v>476</v>
      </c>
      <c r="B10" t="s">
        <v>477</v>
      </c>
      <c r="C10">
        <v>14554</v>
      </c>
      <c r="D10" s="2" t="s">
        <v>56</v>
      </c>
      <c r="E10" s="2">
        <v>100</v>
      </c>
      <c r="F10" s="19" t="s">
        <v>484</v>
      </c>
      <c r="G10" s="2" t="s">
        <v>456</v>
      </c>
      <c r="H10">
        <v>2</v>
      </c>
      <c r="I10" t="s">
        <v>44</v>
      </c>
      <c r="J10" t="s">
        <v>455</v>
      </c>
    </row>
    <row r="11" spans="1:10" x14ac:dyDescent="0.25">
      <c r="A11" t="s">
        <v>478</v>
      </c>
      <c r="B11" t="s">
        <v>479</v>
      </c>
      <c r="C11">
        <v>14555</v>
      </c>
      <c r="D11" s="2" t="s">
        <v>56</v>
      </c>
      <c r="E11" s="2">
        <v>100</v>
      </c>
      <c r="F11" s="19" t="s">
        <v>484</v>
      </c>
      <c r="G11" s="2" t="s">
        <v>456</v>
      </c>
      <c r="H11">
        <v>2</v>
      </c>
      <c r="I11" t="s">
        <v>44</v>
      </c>
      <c r="J11" t="s">
        <v>485</v>
      </c>
    </row>
    <row r="12" spans="1:10" x14ac:dyDescent="0.25">
      <c r="A12" t="s">
        <v>480</v>
      </c>
      <c r="B12" t="s">
        <v>481</v>
      </c>
      <c r="C12">
        <v>14556</v>
      </c>
      <c r="D12" s="2" t="s">
        <v>56</v>
      </c>
      <c r="E12" s="2">
        <v>100</v>
      </c>
      <c r="F12" s="19" t="s">
        <v>484</v>
      </c>
      <c r="G12" s="2" t="s">
        <v>456</v>
      </c>
      <c r="H12">
        <v>2</v>
      </c>
      <c r="I12" t="s">
        <v>44</v>
      </c>
      <c r="J12" t="s">
        <v>485</v>
      </c>
    </row>
    <row r="13" spans="1:10" x14ac:dyDescent="0.25">
      <c r="A13" t="s">
        <v>482</v>
      </c>
      <c r="B13" t="s">
        <v>483</v>
      </c>
      <c r="C13">
        <v>14557</v>
      </c>
      <c r="D13" s="2" t="s">
        <v>56</v>
      </c>
      <c r="E13" s="2">
        <v>50</v>
      </c>
      <c r="F13" s="19" t="s">
        <v>484</v>
      </c>
      <c r="G13" s="2" t="s">
        <v>456</v>
      </c>
      <c r="H13">
        <v>2</v>
      </c>
      <c r="I13" t="s">
        <v>44</v>
      </c>
      <c r="J13" t="s">
        <v>455</v>
      </c>
    </row>
    <row r="14" spans="1:10" x14ac:dyDescent="0.25">
      <c r="A14" t="s">
        <v>486</v>
      </c>
      <c r="B14" t="s">
        <v>487</v>
      </c>
      <c r="C14">
        <v>14558</v>
      </c>
      <c r="D14" s="2" t="s">
        <v>56</v>
      </c>
      <c r="E14" s="2">
        <v>50</v>
      </c>
      <c r="F14" s="19" t="s">
        <v>484</v>
      </c>
      <c r="G14" s="2" t="s">
        <v>456</v>
      </c>
      <c r="H14">
        <v>2</v>
      </c>
      <c r="I14" t="s">
        <v>44</v>
      </c>
      <c r="J14" t="s">
        <v>485</v>
      </c>
    </row>
    <row r="15" spans="1:10" x14ac:dyDescent="0.25">
      <c r="D15"/>
      <c r="E15"/>
      <c r="F15"/>
      <c r="G15"/>
    </row>
    <row r="16" spans="1:10" x14ac:dyDescent="0.25">
      <c r="D16"/>
      <c r="E16"/>
      <c r="F16"/>
      <c r="G16"/>
    </row>
  </sheetData>
  <pageMargins left="0.7" right="0.7" top="0.78740157499999996" bottom="0.78740157499999996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chaltfläche1_Klicken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RY22"/>
  <sheetViews>
    <sheetView zoomScale="86" zoomScaleNormal="86" workbookViewId="0">
      <selection activeCell="C12" sqref="C12"/>
    </sheetView>
  </sheetViews>
  <sheetFormatPr baseColWidth="10" defaultColWidth="2.7109375" defaultRowHeight="15" x14ac:dyDescent="0.25"/>
  <cols>
    <col min="1" max="1" width="18" customWidth="1"/>
    <col min="2" max="2" width="11.42578125" customWidth="1"/>
    <col min="3" max="3" width="14.7109375" customWidth="1"/>
    <col min="4" max="372" width="4.7109375" customWidth="1"/>
    <col min="373" max="373" width="3.42578125" customWidth="1"/>
  </cols>
  <sheetData>
    <row r="1" spans="1:493" ht="40.5" customHeight="1" thickBot="1" x14ac:dyDescent="0.3">
      <c r="A1" s="1" t="s">
        <v>13</v>
      </c>
      <c r="B1" s="1" t="s">
        <v>10</v>
      </c>
      <c r="C1" s="1" t="s">
        <v>11</v>
      </c>
      <c r="D1" s="25" t="s">
        <v>328</v>
      </c>
      <c r="E1" s="25" t="s">
        <v>329</v>
      </c>
      <c r="F1" s="25" t="s">
        <v>330</v>
      </c>
      <c r="G1" s="25" t="s">
        <v>331</v>
      </c>
      <c r="H1" s="25" t="s">
        <v>332</v>
      </c>
      <c r="I1" s="25" t="s">
        <v>333</v>
      </c>
      <c r="J1" s="25" t="s">
        <v>334</v>
      </c>
      <c r="K1" s="25" t="s">
        <v>335</v>
      </c>
      <c r="L1" s="25" t="s">
        <v>336</v>
      </c>
      <c r="M1" s="25" t="s">
        <v>69</v>
      </c>
      <c r="N1" s="25" t="s">
        <v>70</v>
      </c>
      <c r="O1" s="25" t="s">
        <v>71</v>
      </c>
      <c r="P1" s="25" t="s">
        <v>72</v>
      </c>
      <c r="Q1" s="25" t="s">
        <v>73</v>
      </c>
      <c r="R1" s="25" t="s">
        <v>74</v>
      </c>
      <c r="S1" s="25" t="s">
        <v>75</v>
      </c>
      <c r="T1" s="25" t="s">
        <v>76</v>
      </c>
      <c r="U1" s="25" t="s">
        <v>77</v>
      </c>
      <c r="V1" s="25" t="s">
        <v>78</v>
      </c>
      <c r="W1" s="25" t="s">
        <v>79</v>
      </c>
      <c r="X1" s="25" t="s">
        <v>80</v>
      </c>
      <c r="Y1" s="25" t="s">
        <v>81</v>
      </c>
      <c r="Z1" s="25" t="s">
        <v>82</v>
      </c>
      <c r="AA1" s="25" t="s">
        <v>83</v>
      </c>
      <c r="AB1" s="25" t="s">
        <v>84</v>
      </c>
      <c r="AC1" s="25" t="s">
        <v>85</v>
      </c>
      <c r="AD1" s="25" t="s">
        <v>86</v>
      </c>
      <c r="AE1" s="25" t="s">
        <v>87</v>
      </c>
      <c r="AF1" s="25" t="s">
        <v>88</v>
      </c>
      <c r="AG1" s="25" t="s">
        <v>89</v>
      </c>
      <c r="AH1" s="25" t="s">
        <v>90</v>
      </c>
      <c r="AI1" s="25" t="s">
        <v>337</v>
      </c>
      <c r="AJ1" s="25" t="s">
        <v>338</v>
      </c>
      <c r="AK1" s="25" t="s">
        <v>339</v>
      </c>
      <c r="AL1" s="25" t="s">
        <v>340</v>
      </c>
      <c r="AM1" s="25" t="s">
        <v>341</v>
      </c>
      <c r="AN1" s="25" t="s">
        <v>342</v>
      </c>
      <c r="AO1" s="25" t="s">
        <v>343</v>
      </c>
      <c r="AP1" s="25" t="s">
        <v>344</v>
      </c>
      <c r="AQ1" s="25" t="s">
        <v>345</v>
      </c>
      <c r="AR1" s="25" t="s">
        <v>91</v>
      </c>
      <c r="AS1" s="25" t="s">
        <v>92</v>
      </c>
      <c r="AT1" s="25" t="s">
        <v>93</v>
      </c>
      <c r="AU1" s="25" t="s">
        <v>94</v>
      </c>
      <c r="AV1" s="25" t="s">
        <v>95</v>
      </c>
      <c r="AW1" s="25" t="s">
        <v>96</v>
      </c>
      <c r="AX1" s="25" t="s">
        <v>97</v>
      </c>
      <c r="AY1" s="25" t="s">
        <v>98</v>
      </c>
      <c r="AZ1" s="25" t="s">
        <v>99</v>
      </c>
      <c r="BA1" s="25" t="s">
        <v>100</v>
      </c>
      <c r="BB1" s="25" t="s">
        <v>101</v>
      </c>
      <c r="BC1" s="25" t="s">
        <v>102</v>
      </c>
      <c r="BD1" s="25" t="s">
        <v>103</v>
      </c>
      <c r="BE1" s="25" t="s">
        <v>104</v>
      </c>
      <c r="BF1" s="25" t="s">
        <v>105</v>
      </c>
      <c r="BG1" s="25" t="s">
        <v>106</v>
      </c>
      <c r="BH1" s="25" t="s">
        <v>107</v>
      </c>
      <c r="BI1" s="25" t="s">
        <v>108</v>
      </c>
      <c r="BJ1" s="25" t="s">
        <v>109</v>
      </c>
      <c r="BK1" s="25" t="s">
        <v>457</v>
      </c>
      <c r="BL1" s="25" t="s">
        <v>346</v>
      </c>
      <c r="BM1" s="25" t="s">
        <v>347</v>
      </c>
      <c r="BN1" s="25" t="s">
        <v>348</v>
      </c>
      <c r="BO1" s="25" t="s">
        <v>349</v>
      </c>
      <c r="BP1" s="25" t="s">
        <v>350</v>
      </c>
      <c r="BQ1" s="25" t="s">
        <v>351</v>
      </c>
      <c r="BR1" s="25" t="s">
        <v>352</v>
      </c>
      <c r="BS1" s="25" t="s">
        <v>353</v>
      </c>
      <c r="BT1" s="25" t="s">
        <v>354</v>
      </c>
      <c r="BU1" s="25" t="s">
        <v>110</v>
      </c>
      <c r="BV1" s="25" t="s">
        <v>111</v>
      </c>
      <c r="BW1" s="25" t="s">
        <v>112</v>
      </c>
      <c r="BX1" s="25" t="s">
        <v>113</v>
      </c>
      <c r="BY1" s="25" t="s">
        <v>114</v>
      </c>
      <c r="BZ1" s="25" t="s">
        <v>115</v>
      </c>
      <c r="CA1" s="25" t="s">
        <v>116</v>
      </c>
      <c r="CB1" s="25" t="s">
        <v>117</v>
      </c>
      <c r="CC1" s="25" t="s">
        <v>118</v>
      </c>
      <c r="CD1" s="25" t="s">
        <v>119</v>
      </c>
      <c r="CE1" s="25" t="s">
        <v>120</v>
      </c>
      <c r="CF1" s="25" t="s">
        <v>121</v>
      </c>
      <c r="CG1" s="25" t="s">
        <v>122</v>
      </c>
      <c r="CH1" s="25" t="s">
        <v>123</v>
      </c>
      <c r="CI1" s="25" t="s">
        <v>124</v>
      </c>
      <c r="CJ1" s="25" t="s">
        <v>125</v>
      </c>
      <c r="CK1" s="25" t="s">
        <v>126</v>
      </c>
      <c r="CL1" s="25" t="s">
        <v>127</v>
      </c>
      <c r="CM1" s="25" t="s">
        <v>128</v>
      </c>
      <c r="CN1" s="25" t="s">
        <v>129</v>
      </c>
      <c r="CO1" s="25" t="s">
        <v>130</v>
      </c>
      <c r="CP1" s="25" t="s">
        <v>131</v>
      </c>
      <c r="CQ1" s="25" t="s">
        <v>355</v>
      </c>
      <c r="CR1" s="25" t="s">
        <v>356</v>
      </c>
      <c r="CS1" s="25" t="s">
        <v>327</v>
      </c>
      <c r="CT1" s="25" t="s">
        <v>357</v>
      </c>
      <c r="CU1" s="25" t="s">
        <v>358</v>
      </c>
      <c r="CV1" s="25" t="s">
        <v>359</v>
      </c>
      <c r="CW1" s="25" t="s">
        <v>360</v>
      </c>
      <c r="CX1" s="25" t="s">
        <v>361</v>
      </c>
      <c r="CY1" s="25" t="s">
        <v>362</v>
      </c>
      <c r="CZ1" s="25" t="s">
        <v>132</v>
      </c>
      <c r="DA1" s="25" t="s">
        <v>133</v>
      </c>
      <c r="DB1" s="25" t="s">
        <v>134</v>
      </c>
      <c r="DC1" s="25" t="s">
        <v>135</v>
      </c>
      <c r="DD1" s="25" t="s">
        <v>136</v>
      </c>
      <c r="DE1" s="25" t="s">
        <v>137</v>
      </c>
      <c r="DF1" s="25" t="s">
        <v>138</v>
      </c>
      <c r="DG1" s="25" t="s">
        <v>139</v>
      </c>
      <c r="DH1" s="25" t="s">
        <v>140</v>
      </c>
      <c r="DI1" s="25" t="s">
        <v>141</v>
      </c>
      <c r="DJ1" s="25" t="s">
        <v>142</v>
      </c>
      <c r="DK1" s="25" t="s">
        <v>143</v>
      </c>
      <c r="DL1" s="25" t="s">
        <v>144</v>
      </c>
      <c r="DM1" s="25" t="s">
        <v>145</v>
      </c>
      <c r="DN1" s="25" t="s">
        <v>146</v>
      </c>
      <c r="DO1" s="25" t="s">
        <v>147</v>
      </c>
      <c r="DP1" s="25" t="s">
        <v>148</v>
      </c>
      <c r="DQ1" s="25" t="s">
        <v>149</v>
      </c>
      <c r="DR1" s="25" t="s">
        <v>150</v>
      </c>
      <c r="DS1" s="25" t="s">
        <v>151</v>
      </c>
      <c r="DT1" s="25" t="s">
        <v>152</v>
      </c>
      <c r="DU1" s="25" t="s">
        <v>363</v>
      </c>
      <c r="DV1" s="25" t="s">
        <v>364</v>
      </c>
      <c r="DW1" s="25" t="s">
        <v>365</v>
      </c>
      <c r="DX1" s="25" t="s">
        <v>366</v>
      </c>
      <c r="DY1" s="25" t="s">
        <v>367</v>
      </c>
      <c r="DZ1" s="25" t="s">
        <v>368</v>
      </c>
      <c r="EA1" s="25" t="s">
        <v>369</v>
      </c>
      <c r="EB1" s="25" t="s">
        <v>370</v>
      </c>
      <c r="EC1" s="25" t="s">
        <v>371</v>
      </c>
      <c r="ED1" s="25" t="s">
        <v>153</v>
      </c>
      <c r="EE1" s="25" t="s">
        <v>154</v>
      </c>
      <c r="EF1" s="25" t="s">
        <v>155</v>
      </c>
      <c r="EG1" s="25" t="s">
        <v>156</v>
      </c>
      <c r="EH1" s="25" t="s">
        <v>157</v>
      </c>
      <c r="EI1" s="25" t="s">
        <v>158</v>
      </c>
      <c r="EJ1" s="25" t="s">
        <v>159</v>
      </c>
      <c r="EK1" s="25" t="s">
        <v>160</v>
      </c>
      <c r="EL1" s="25" t="s">
        <v>161</v>
      </c>
      <c r="EM1" s="25" t="s">
        <v>162</v>
      </c>
      <c r="EN1" s="25" t="s">
        <v>163</v>
      </c>
      <c r="EO1" s="25" t="s">
        <v>164</v>
      </c>
      <c r="EP1" s="25" t="s">
        <v>165</v>
      </c>
      <c r="EQ1" s="25" t="s">
        <v>166</v>
      </c>
      <c r="ER1" s="25" t="s">
        <v>167</v>
      </c>
      <c r="ES1" s="25" t="s">
        <v>168</v>
      </c>
      <c r="ET1" s="25" t="s">
        <v>169</v>
      </c>
      <c r="EU1" s="25" t="s">
        <v>170</v>
      </c>
      <c r="EV1" s="25" t="s">
        <v>171</v>
      </c>
      <c r="EW1" s="25" t="s">
        <v>172</v>
      </c>
      <c r="EX1" s="25" t="s">
        <v>173</v>
      </c>
      <c r="EY1" s="25" t="s">
        <v>174</v>
      </c>
      <c r="EZ1" s="25" t="s">
        <v>372</v>
      </c>
      <c r="FA1" s="25" t="s">
        <v>373</v>
      </c>
      <c r="FB1" s="25" t="s">
        <v>374</v>
      </c>
      <c r="FC1" s="25" t="s">
        <v>375</v>
      </c>
      <c r="FD1" s="25" t="s">
        <v>376</v>
      </c>
      <c r="FE1" s="25" t="s">
        <v>377</v>
      </c>
      <c r="FF1" s="25" t="s">
        <v>378</v>
      </c>
      <c r="FG1" s="25" t="s">
        <v>379</v>
      </c>
      <c r="FH1" s="25" t="s">
        <v>380</v>
      </c>
      <c r="FI1" s="25" t="s">
        <v>175</v>
      </c>
      <c r="FJ1" s="25" t="s">
        <v>176</v>
      </c>
      <c r="FK1" s="25" t="s">
        <v>177</v>
      </c>
      <c r="FL1" s="25" t="s">
        <v>178</v>
      </c>
      <c r="FM1" s="25" t="s">
        <v>179</v>
      </c>
      <c r="FN1" s="25" t="s">
        <v>180</v>
      </c>
      <c r="FO1" s="25" t="s">
        <v>181</v>
      </c>
      <c r="FP1" s="25" t="s">
        <v>182</v>
      </c>
      <c r="FQ1" s="25" t="s">
        <v>183</v>
      </c>
      <c r="FR1" s="25" t="s">
        <v>184</v>
      </c>
      <c r="FS1" s="25" t="s">
        <v>185</v>
      </c>
      <c r="FT1" s="25" t="s">
        <v>186</v>
      </c>
      <c r="FU1" s="25" t="s">
        <v>187</v>
      </c>
      <c r="FV1" s="25" t="s">
        <v>188</v>
      </c>
      <c r="FW1" s="25" t="s">
        <v>189</v>
      </c>
      <c r="FX1" s="25" t="s">
        <v>190</v>
      </c>
      <c r="FY1" s="25" t="s">
        <v>191</v>
      </c>
      <c r="FZ1" s="25" t="s">
        <v>192</v>
      </c>
      <c r="GA1" s="25" t="s">
        <v>193</v>
      </c>
      <c r="GB1" s="25" t="s">
        <v>194</v>
      </c>
      <c r="GC1" s="25" t="s">
        <v>195</v>
      </c>
      <c r="GD1" s="25" t="s">
        <v>381</v>
      </c>
      <c r="GE1" s="25" t="s">
        <v>382</v>
      </c>
      <c r="GF1" s="25" t="s">
        <v>383</v>
      </c>
      <c r="GG1" s="25" t="s">
        <v>384</v>
      </c>
      <c r="GH1" s="25" t="s">
        <v>385</v>
      </c>
      <c r="GI1" s="25" t="s">
        <v>386</v>
      </c>
      <c r="GJ1" s="25" t="s">
        <v>387</v>
      </c>
      <c r="GK1" s="25" t="s">
        <v>388</v>
      </c>
      <c r="GL1" s="25" t="s">
        <v>389</v>
      </c>
      <c r="GM1" s="25" t="s">
        <v>196</v>
      </c>
      <c r="GN1" s="25" t="s">
        <v>197</v>
      </c>
      <c r="GO1" s="25" t="s">
        <v>198</v>
      </c>
      <c r="GP1" s="25" t="s">
        <v>199</v>
      </c>
      <c r="GQ1" s="25" t="s">
        <v>200</v>
      </c>
      <c r="GR1" s="25" t="s">
        <v>201</v>
      </c>
      <c r="GS1" s="25" t="s">
        <v>202</v>
      </c>
      <c r="GT1" s="25" t="s">
        <v>203</v>
      </c>
      <c r="GU1" s="25" t="s">
        <v>204</v>
      </c>
      <c r="GV1" s="25" t="s">
        <v>205</v>
      </c>
      <c r="GW1" s="25" t="s">
        <v>206</v>
      </c>
      <c r="GX1" s="25" t="s">
        <v>207</v>
      </c>
      <c r="GY1" s="25" t="s">
        <v>208</v>
      </c>
      <c r="GZ1" s="25" t="s">
        <v>209</v>
      </c>
      <c r="HA1" s="25" t="s">
        <v>210</v>
      </c>
      <c r="HB1" s="25" t="s">
        <v>211</v>
      </c>
      <c r="HC1" s="25" t="s">
        <v>212</v>
      </c>
      <c r="HD1" s="25" t="s">
        <v>213</v>
      </c>
      <c r="HE1" s="25" t="s">
        <v>214</v>
      </c>
      <c r="HF1" s="25" t="s">
        <v>215</v>
      </c>
      <c r="HG1" s="25" t="s">
        <v>216</v>
      </c>
      <c r="HH1" s="25" t="s">
        <v>217</v>
      </c>
      <c r="HI1" s="25" t="s">
        <v>390</v>
      </c>
      <c r="HJ1" s="25" t="s">
        <v>391</v>
      </c>
      <c r="HK1" s="25" t="s">
        <v>392</v>
      </c>
      <c r="HL1" s="25" t="s">
        <v>393</v>
      </c>
      <c r="HM1" s="25" t="s">
        <v>394</v>
      </c>
      <c r="HN1" s="25" t="s">
        <v>395</v>
      </c>
      <c r="HO1" s="25" t="s">
        <v>396</v>
      </c>
      <c r="HP1" s="25" t="s">
        <v>397</v>
      </c>
      <c r="HQ1" s="25" t="s">
        <v>398</v>
      </c>
      <c r="HR1" s="25" t="s">
        <v>218</v>
      </c>
      <c r="HS1" s="25" t="s">
        <v>219</v>
      </c>
      <c r="HT1" s="25" t="s">
        <v>220</v>
      </c>
      <c r="HU1" s="25" t="s">
        <v>221</v>
      </c>
      <c r="HV1" s="25" t="s">
        <v>222</v>
      </c>
      <c r="HW1" s="25" t="s">
        <v>223</v>
      </c>
      <c r="HX1" s="25" t="s">
        <v>224</v>
      </c>
      <c r="HY1" s="25" t="s">
        <v>225</v>
      </c>
      <c r="HZ1" s="25" t="s">
        <v>226</v>
      </c>
      <c r="IA1" s="25" t="s">
        <v>227</v>
      </c>
      <c r="IB1" s="25" t="s">
        <v>228</v>
      </c>
      <c r="IC1" s="25" t="s">
        <v>229</v>
      </c>
      <c r="ID1" s="25" t="s">
        <v>230</v>
      </c>
      <c r="IE1" s="25" t="s">
        <v>231</v>
      </c>
      <c r="IF1" s="25" t="s">
        <v>232</v>
      </c>
      <c r="IG1" s="25" t="s">
        <v>233</v>
      </c>
      <c r="IH1" s="25" t="s">
        <v>234</v>
      </c>
      <c r="II1" s="25" t="s">
        <v>235</v>
      </c>
      <c r="IJ1" s="25" t="s">
        <v>236</v>
      </c>
      <c r="IK1" s="25" t="s">
        <v>237</v>
      </c>
      <c r="IL1" s="25" t="s">
        <v>238</v>
      </c>
      <c r="IM1" s="25" t="s">
        <v>239</v>
      </c>
      <c r="IN1" s="25" t="s">
        <v>399</v>
      </c>
      <c r="IO1" s="25" t="s">
        <v>400</v>
      </c>
      <c r="IP1" s="25" t="s">
        <v>401</v>
      </c>
      <c r="IQ1" s="25" t="s">
        <v>402</v>
      </c>
      <c r="IR1" s="25" t="s">
        <v>403</v>
      </c>
      <c r="IS1" s="25" t="s">
        <v>404</v>
      </c>
      <c r="IT1" s="25" t="s">
        <v>405</v>
      </c>
      <c r="IU1" s="25" t="s">
        <v>406</v>
      </c>
      <c r="IV1" s="25" t="s">
        <v>407</v>
      </c>
      <c r="IW1" s="25" t="s">
        <v>240</v>
      </c>
      <c r="IX1" s="25" t="s">
        <v>241</v>
      </c>
      <c r="IY1" s="25" t="s">
        <v>242</v>
      </c>
      <c r="IZ1" s="25" t="s">
        <v>243</v>
      </c>
      <c r="JA1" s="25" t="s">
        <v>244</v>
      </c>
      <c r="JB1" s="25" t="s">
        <v>245</v>
      </c>
      <c r="JC1" s="25" t="s">
        <v>246</v>
      </c>
      <c r="JD1" s="25" t="s">
        <v>247</v>
      </c>
      <c r="JE1" s="25" t="s">
        <v>248</v>
      </c>
      <c r="JF1" s="25" t="s">
        <v>249</v>
      </c>
      <c r="JG1" s="25" t="s">
        <v>250</v>
      </c>
      <c r="JH1" s="25" t="s">
        <v>251</v>
      </c>
      <c r="JI1" s="25" t="s">
        <v>252</v>
      </c>
      <c r="JJ1" s="25" t="s">
        <v>253</v>
      </c>
      <c r="JK1" s="25" t="s">
        <v>254</v>
      </c>
      <c r="JL1" s="25" t="s">
        <v>255</v>
      </c>
      <c r="JM1" s="25" t="s">
        <v>256</v>
      </c>
      <c r="JN1" s="25" t="s">
        <v>257</v>
      </c>
      <c r="JO1" s="25" t="s">
        <v>258</v>
      </c>
      <c r="JP1" s="25" t="s">
        <v>259</v>
      </c>
      <c r="JQ1" s="25" t="s">
        <v>260</v>
      </c>
      <c r="JR1" s="25" t="s">
        <v>408</v>
      </c>
      <c r="JS1" s="25" t="s">
        <v>409</v>
      </c>
      <c r="JT1" s="25" t="s">
        <v>410</v>
      </c>
      <c r="JU1" s="25" t="s">
        <v>411</v>
      </c>
      <c r="JV1" s="25" t="s">
        <v>412</v>
      </c>
      <c r="JW1" s="25" t="s">
        <v>413</v>
      </c>
      <c r="JX1" s="25" t="s">
        <v>414</v>
      </c>
      <c r="JY1" s="25" t="s">
        <v>415</v>
      </c>
      <c r="JZ1" s="25" t="s">
        <v>416</v>
      </c>
      <c r="KA1" s="25" t="s">
        <v>261</v>
      </c>
      <c r="KB1" s="25" t="s">
        <v>262</v>
      </c>
      <c r="KC1" s="25" t="s">
        <v>263</v>
      </c>
      <c r="KD1" s="25" t="s">
        <v>264</v>
      </c>
      <c r="KE1" s="25" t="s">
        <v>265</v>
      </c>
      <c r="KF1" s="25" t="s">
        <v>266</v>
      </c>
      <c r="KG1" s="25" t="s">
        <v>267</v>
      </c>
      <c r="KH1" s="25" t="s">
        <v>268</v>
      </c>
      <c r="KI1" s="25" t="s">
        <v>269</v>
      </c>
      <c r="KJ1" s="25" t="s">
        <v>270</v>
      </c>
      <c r="KK1" s="25" t="s">
        <v>271</v>
      </c>
      <c r="KL1" s="25" t="s">
        <v>272</v>
      </c>
      <c r="KM1" s="25" t="s">
        <v>273</v>
      </c>
      <c r="KN1" s="25" t="s">
        <v>274</v>
      </c>
      <c r="KO1" s="25" t="s">
        <v>275</v>
      </c>
      <c r="KP1" s="25" t="s">
        <v>276</v>
      </c>
      <c r="KQ1" s="25" t="s">
        <v>277</v>
      </c>
      <c r="KR1" s="25" t="s">
        <v>278</v>
      </c>
      <c r="KS1" s="25" t="s">
        <v>279</v>
      </c>
      <c r="KT1" s="25" t="s">
        <v>280</v>
      </c>
      <c r="KU1" s="25" t="s">
        <v>281</v>
      </c>
      <c r="KV1" s="25" t="s">
        <v>282</v>
      </c>
      <c r="KW1" s="25" t="s">
        <v>417</v>
      </c>
      <c r="KX1" s="25" t="s">
        <v>418</v>
      </c>
      <c r="KY1" s="25" t="s">
        <v>419</v>
      </c>
      <c r="KZ1" s="25" t="s">
        <v>420</v>
      </c>
      <c r="LA1" s="25" t="s">
        <v>421</v>
      </c>
      <c r="LB1" s="25" t="s">
        <v>422</v>
      </c>
      <c r="LC1" s="25" t="s">
        <v>423</v>
      </c>
      <c r="LD1" s="25" t="s">
        <v>424</v>
      </c>
      <c r="LE1" s="25" t="s">
        <v>425</v>
      </c>
      <c r="LF1" s="25" t="s">
        <v>283</v>
      </c>
      <c r="LG1" s="25" t="s">
        <v>284</v>
      </c>
      <c r="LH1" s="25" t="s">
        <v>285</v>
      </c>
      <c r="LI1" s="25" t="s">
        <v>286</v>
      </c>
      <c r="LJ1" s="25" t="s">
        <v>287</v>
      </c>
      <c r="LK1" s="25" t="s">
        <v>288</v>
      </c>
      <c r="LL1" s="25" t="s">
        <v>289</v>
      </c>
      <c r="LM1" s="25" t="s">
        <v>290</v>
      </c>
      <c r="LN1" s="25" t="s">
        <v>291</v>
      </c>
      <c r="LO1" s="25" t="s">
        <v>292</v>
      </c>
      <c r="LP1" s="25" t="s">
        <v>293</v>
      </c>
      <c r="LQ1" s="25" t="s">
        <v>294</v>
      </c>
      <c r="LR1" s="25" t="s">
        <v>295</v>
      </c>
      <c r="LS1" s="25" t="s">
        <v>296</v>
      </c>
      <c r="LT1" s="25" t="s">
        <v>297</v>
      </c>
      <c r="LU1" s="25" t="s">
        <v>298</v>
      </c>
      <c r="LV1" s="25" t="s">
        <v>299</v>
      </c>
      <c r="LW1" s="25" t="s">
        <v>300</v>
      </c>
      <c r="LX1" s="25" t="s">
        <v>301</v>
      </c>
      <c r="LY1" s="25" t="s">
        <v>302</v>
      </c>
      <c r="LZ1" s="25" t="s">
        <v>303</v>
      </c>
      <c r="MA1" s="25" t="s">
        <v>304</v>
      </c>
      <c r="MB1" s="25" t="s">
        <v>426</v>
      </c>
      <c r="MC1" s="25" t="s">
        <v>427</v>
      </c>
      <c r="MD1" s="25" t="s">
        <v>428</v>
      </c>
      <c r="ME1" s="25" t="s">
        <v>429</v>
      </c>
      <c r="MF1" s="25" t="s">
        <v>430</v>
      </c>
      <c r="MG1" s="25" t="s">
        <v>431</v>
      </c>
      <c r="MH1" s="25" t="s">
        <v>432</v>
      </c>
      <c r="MI1" s="25" t="s">
        <v>433</v>
      </c>
      <c r="MJ1" s="25" t="s">
        <v>434</v>
      </c>
      <c r="MK1" s="25" t="s">
        <v>305</v>
      </c>
      <c r="ML1" s="25" t="s">
        <v>306</v>
      </c>
      <c r="MM1" s="25" t="s">
        <v>307</v>
      </c>
      <c r="MN1" s="25" t="s">
        <v>308</v>
      </c>
      <c r="MO1" s="25" t="s">
        <v>309</v>
      </c>
      <c r="MP1" s="25" t="s">
        <v>310</v>
      </c>
      <c r="MQ1" s="25" t="s">
        <v>311</v>
      </c>
      <c r="MR1" s="25" t="s">
        <v>312</v>
      </c>
      <c r="MS1" s="25" t="s">
        <v>313</v>
      </c>
      <c r="MT1" s="25" t="s">
        <v>314</v>
      </c>
      <c r="MU1" s="25" t="s">
        <v>315</v>
      </c>
      <c r="MV1" s="25" t="s">
        <v>316</v>
      </c>
      <c r="MW1" s="25" t="s">
        <v>317</v>
      </c>
      <c r="MX1" s="25" t="s">
        <v>318</v>
      </c>
      <c r="MY1" s="25" t="s">
        <v>319</v>
      </c>
      <c r="MZ1" s="25" t="s">
        <v>320</v>
      </c>
      <c r="NA1" s="25" t="s">
        <v>321</v>
      </c>
      <c r="NB1" s="25" t="s">
        <v>322</v>
      </c>
      <c r="NC1" s="25" t="s">
        <v>323</v>
      </c>
      <c r="ND1" s="25" t="s">
        <v>324</v>
      </c>
      <c r="NE1" s="25" t="s">
        <v>325</v>
      </c>
      <c r="NF1" s="25" t="s">
        <v>326</v>
      </c>
      <c r="NG1" s="25"/>
      <c r="NH1" s="24"/>
      <c r="NI1" s="22"/>
      <c r="NJ1" s="22"/>
      <c r="NK1" s="22"/>
      <c r="NL1" s="22"/>
      <c r="NM1" s="22"/>
      <c r="NN1" s="22"/>
      <c r="NO1" s="22"/>
      <c r="NP1" s="22"/>
      <c r="NQ1" s="22"/>
      <c r="NR1" s="22"/>
      <c r="NS1" s="22"/>
      <c r="NT1" s="22"/>
      <c r="NU1" s="22"/>
      <c r="NV1" s="22"/>
      <c r="NW1" s="22"/>
      <c r="NX1" s="22"/>
      <c r="NY1" s="22"/>
      <c r="NZ1" s="22"/>
      <c r="OA1" s="22"/>
      <c r="OB1" s="22"/>
      <c r="OC1" s="22"/>
      <c r="OD1" s="22"/>
      <c r="OE1" s="22"/>
      <c r="OF1" s="22"/>
      <c r="OG1" s="22"/>
      <c r="OH1" s="22"/>
      <c r="OI1" s="22"/>
      <c r="OJ1" s="22"/>
      <c r="OK1" s="22"/>
      <c r="OL1" s="22"/>
      <c r="OM1" s="22"/>
      <c r="ON1" s="22"/>
      <c r="OO1" s="22"/>
      <c r="OP1" s="22"/>
      <c r="OQ1" s="22"/>
      <c r="OR1" s="22"/>
      <c r="OS1" s="22"/>
      <c r="OT1" s="22"/>
      <c r="OU1" s="22"/>
      <c r="OV1" s="22"/>
      <c r="OW1" s="22"/>
      <c r="OX1" s="22"/>
      <c r="OY1" s="22"/>
      <c r="OZ1" s="22"/>
      <c r="PA1" s="22"/>
      <c r="PB1" s="22"/>
      <c r="PC1" s="22"/>
      <c r="PD1" s="22"/>
      <c r="PE1" s="22"/>
      <c r="PF1" s="22"/>
      <c r="PG1" s="22"/>
      <c r="PH1" s="22"/>
      <c r="PI1" s="22"/>
      <c r="PJ1" s="22"/>
      <c r="PK1" s="22"/>
      <c r="PL1" s="22"/>
      <c r="PM1" s="22"/>
      <c r="PN1" s="22"/>
      <c r="PO1" s="22"/>
      <c r="PP1" s="22"/>
      <c r="PQ1" s="22"/>
      <c r="PR1" s="22"/>
      <c r="PS1" s="22"/>
      <c r="PT1" s="22"/>
      <c r="PU1" s="22"/>
      <c r="PV1" s="22"/>
      <c r="PW1" s="22"/>
      <c r="PX1" s="22"/>
      <c r="PY1" s="22"/>
      <c r="PZ1" s="22"/>
      <c r="QA1" s="22"/>
      <c r="QB1" s="22"/>
      <c r="QC1" s="22"/>
      <c r="QD1" s="22"/>
      <c r="QE1" s="22"/>
      <c r="QF1" s="22"/>
      <c r="QG1" s="22"/>
      <c r="QH1" s="22"/>
      <c r="QI1" s="22"/>
      <c r="QJ1" s="22"/>
      <c r="QK1" s="22"/>
      <c r="QL1" s="22"/>
      <c r="QM1" s="22"/>
      <c r="QN1" s="22"/>
      <c r="QO1" s="22"/>
      <c r="QP1" s="22"/>
      <c r="QQ1" s="22"/>
      <c r="QR1" s="22"/>
      <c r="QS1" s="22"/>
      <c r="QT1" s="22"/>
      <c r="QU1" s="22"/>
      <c r="QV1" s="22"/>
      <c r="QW1" s="22"/>
      <c r="QX1" s="22"/>
      <c r="QY1" s="22"/>
      <c r="QZ1" s="22"/>
      <c r="RA1" s="22"/>
      <c r="RB1" s="22"/>
      <c r="RC1" s="22"/>
      <c r="RD1" s="22"/>
      <c r="RE1" s="22"/>
      <c r="RF1" s="22"/>
      <c r="RG1" s="22"/>
      <c r="RH1" s="22"/>
      <c r="RI1" s="22"/>
      <c r="RJ1" s="22"/>
      <c r="RK1" s="22"/>
      <c r="RL1" s="22"/>
      <c r="RM1" s="22"/>
      <c r="RN1" s="22"/>
      <c r="RO1" s="22"/>
      <c r="RP1" s="22"/>
      <c r="RQ1" s="22"/>
      <c r="RR1" s="22"/>
      <c r="RS1" s="22"/>
      <c r="RT1" s="22"/>
      <c r="RU1" s="22"/>
      <c r="RV1" s="22"/>
      <c r="RW1" s="22"/>
      <c r="RX1" s="22"/>
      <c r="RY1" s="22"/>
    </row>
    <row r="2" spans="1:493" ht="15.75" thickTop="1" x14ac:dyDescent="0.25">
      <c r="A2" t="s">
        <v>474</v>
      </c>
      <c r="B2" t="s">
        <v>475</v>
      </c>
      <c r="C2">
        <v>14553</v>
      </c>
      <c r="D2">
        <v>1</v>
      </c>
      <c r="E2">
        <v>1</v>
      </c>
      <c r="F2">
        <v>1</v>
      </c>
      <c r="G2">
        <v>1</v>
      </c>
      <c r="K2">
        <v>1</v>
      </c>
      <c r="Q2">
        <v>1</v>
      </c>
      <c r="U2">
        <v>1</v>
      </c>
      <c r="X2">
        <v>1</v>
      </c>
      <c r="AA2">
        <v>1</v>
      </c>
      <c r="AE2">
        <v>1</v>
      </c>
      <c r="NF2">
        <v>1</v>
      </c>
    </row>
    <row r="3" spans="1:493" x14ac:dyDescent="0.25">
      <c r="A3" t="s">
        <v>476</v>
      </c>
      <c r="B3" t="s">
        <v>477</v>
      </c>
      <c r="C3">
        <v>14554</v>
      </c>
    </row>
    <row r="4" spans="1:493" x14ac:dyDescent="0.25">
      <c r="A4" t="s">
        <v>478</v>
      </c>
      <c r="B4" t="s">
        <v>479</v>
      </c>
      <c r="C4">
        <v>14555</v>
      </c>
    </row>
    <row r="5" spans="1:493" x14ac:dyDescent="0.25">
      <c r="A5" t="s">
        <v>480</v>
      </c>
      <c r="B5" t="s">
        <v>481</v>
      </c>
      <c r="C5">
        <v>14556</v>
      </c>
      <c r="Q5">
        <v>1</v>
      </c>
      <c r="R5">
        <v>1</v>
      </c>
    </row>
    <row r="6" spans="1:493" x14ac:dyDescent="0.25">
      <c r="A6" t="s">
        <v>482</v>
      </c>
      <c r="B6" t="s">
        <v>483</v>
      </c>
      <c r="C6">
        <v>14557</v>
      </c>
    </row>
    <row r="7" spans="1:493" x14ac:dyDescent="0.25">
      <c r="A7" t="s">
        <v>486</v>
      </c>
      <c r="B7" t="s">
        <v>487</v>
      </c>
      <c r="C7">
        <v>14558</v>
      </c>
    </row>
    <row r="22" spans="56:56" x14ac:dyDescent="0.25">
      <c r="BD22" s="21"/>
    </row>
  </sheetData>
  <protectedRanges>
    <protectedRange algorithmName="SHA-512" hashValue="DVEC6gm1Mn9qCxHoaq1SwEmSK+OC39n1zLropqC/zlcniUuBrudXcvS2ahc3hHor9qCCPnTqaGw2Drn1n2pBXQ==" saltValue="IWJvZ2Oe5jnOF1dlV/bt/w==" spinCount="100000" sqref="D1:W1 D39:W1048576 A2:S38" name="Bereich1"/>
  </protectedRange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O8"/>
  <sheetViews>
    <sheetView topLeftCell="C1" zoomScale="86" zoomScaleNormal="86" workbookViewId="0">
      <selection activeCell="M38" sqref="M38"/>
    </sheetView>
  </sheetViews>
  <sheetFormatPr baseColWidth="10" defaultRowHeight="15" x14ac:dyDescent="0.25"/>
  <cols>
    <col min="1" max="1" width="18.7109375" customWidth="1"/>
    <col min="2" max="2" width="13.28515625" customWidth="1"/>
    <col min="3" max="3" width="18.140625" customWidth="1"/>
    <col min="4" max="4" width="14.5703125" customWidth="1"/>
    <col min="5" max="6" width="13.85546875" customWidth="1"/>
    <col min="7" max="7" width="14.28515625" customWidth="1"/>
    <col min="8" max="9" width="14.85546875" customWidth="1"/>
    <col min="10" max="10" width="17.42578125" customWidth="1"/>
    <col min="11" max="11" width="20.140625" customWidth="1"/>
    <col min="12" max="12" width="15.85546875" customWidth="1"/>
    <col min="13" max="14" width="17.140625" customWidth="1"/>
    <col min="15" max="15" width="18.140625" customWidth="1"/>
  </cols>
  <sheetData>
    <row r="1" spans="1:15" ht="0.75" customHeight="1" x14ac:dyDescent="0.25"/>
    <row r="2" spans="1:15" x14ac:dyDescent="0.25">
      <c r="A2" s="15" t="s">
        <v>13</v>
      </c>
      <c r="B2" s="15" t="s">
        <v>10</v>
      </c>
      <c r="C2" s="26" t="s">
        <v>65</v>
      </c>
      <c r="D2" s="14" t="s">
        <v>445</v>
      </c>
      <c r="E2" s="14" t="s">
        <v>28</v>
      </c>
      <c r="F2" s="14" t="s">
        <v>34</v>
      </c>
      <c r="G2" s="14" t="s">
        <v>446</v>
      </c>
      <c r="H2" s="14" t="s">
        <v>29</v>
      </c>
      <c r="I2" s="14" t="s">
        <v>30</v>
      </c>
      <c r="J2" s="15" t="s">
        <v>447</v>
      </c>
      <c r="K2" s="15" t="s">
        <v>31</v>
      </c>
      <c r="L2" s="15" t="s">
        <v>35</v>
      </c>
      <c r="M2" s="15" t="s">
        <v>448</v>
      </c>
      <c r="N2" s="15" t="s">
        <v>32</v>
      </c>
      <c r="O2" s="15" t="s">
        <v>33</v>
      </c>
    </row>
    <row r="3" spans="1:15" x14ac:dyDescent="0.25">
      <c r="A3" t="s">
        <v>474</v>
      </c>
      <c r="B3" t="s">
        <v>475</v>
      </c>
      <c r="C3">
        <v>14553</v>
      </c>
      <c r="D3" t="s">
        <v>36</v>
      </c>
      <c r="E3" t="s">
        <v>37</v>
      </c>
      <c r="F3" t="s">
        <v>37</v>
      </c>
      <c r="G3" t="s">
        <v>36</v>
      </c>
      <c r="H3" t="s">
        <v>37</v>
      </c>
      <c r="I3" t="s">
        <v>36</v>
      </c>
      <c r="J3" t="s">
        <v>37</v>
      </c>
      <c r="K3" t="s">
        <v>37</v>
      </c>
      <c r="L3" t="s">
        <v>37</v>
      </c>
      <c r="M3" t="s">
        <v>37</v>
      </c>
      <c r="N3" t="s">
        <v>37</v>
      </c>
      <c r="O3" t="s">
        <v>37</v>
      </c>
    </row>
    <row r="4" spans="1:15" x14ac:dyDescent="0.25">
      <c r="A4" t="s">
        <v>476</v>
      </c>
      <c r="B4" t="s">
        <v>477</v>
      </c>
      <c r="C4">
        <v>14554</v>
      </c>
      <c r="D4" t="s">
        <v>36</v>
      </c>
      <c r="E4" t="s">
        <v>37</v>
      </c>
      <c r="F4" t="s">
        <v>37</v>
      </c>
      <c r="G4" t="s">
        <v>36</v>
      </c>
      <c r="H4" t="s">
        <v>37</v>
      </c>
      <c r="I4" t="s">
        <v>36</v>
      </c>
      <c r="J4" t="s">
        <v>37</v>
      </c>
      <c r="K4" t="s">
        <v>37</v>
      </c>
      <c r="L4" t="s">
        <v>37</v>
      </c>
      <c r="M4" t="s">
        <v>37</v>
      </c>
      <c r="N4" t="s">
        <v>37</v>
      </c>
      <c r="O4" t="s">
        <v>37</v>
      </c>
    </row>
    <row r="5" spans="1:15" x14ac:dyDescent="0.25">
      <c r="A5" t="s">
        <v>478</v>
      </c>
      <c r="B5" t="s">
        <v>479</v>
      </c>
      <c r="C5">
        <v>14555</v>
      </c>
      <c r="D5" t="s">
        <v>36</v>
      </c>
      <c r="E5" t="s">
        <v>37</v>
      </c>
      <c r="F5" t="s">
        <v>37</v>
      </c>
      <c r="G5" t="s">
        <v>36</v>
      </c>
      <c r="H5" t="s">
        <v>37</v>
      </c>
      <c r="I5" t="s">
        <v>36</v>
      </c>
      <c r="J5" t="s">
        <v>37</v>
      </c>
      <c r="K5" t="s">
        <v>37</v>
      </c>
      <c r="L5" t="s">
        <v>37</v>
      </c>
      <c r="M5" t="s">
        <v>37</v>
      </c>
      <c r="N5" t="s">
        <v>37</v>
      </c>
      <c r="O5" t="s">
        <v>37</v>
      </c>
    </row>
    <row r="6" spans="1:15" x14ac:dyDescent="0.25">
      <c r="A6" t="s">
        <v>480</v>
      </c>
      <c r="B6" t="s">
        <v>481</v>
      </c>
      <c r="C6">
        <v>14556</v>
      </c>
      <c r="D6" t="s">
        <v>36</v>
      </c>
      <c r="E6" t="s">
        <v>37</v>
      </c>
      <c r="F6" t="s">
        <v>37</v>
      </c>
      <c r="G6" t="s">
        <v>36</v>
      </c>
      <c r="H6" t="s">
        <v>37</v>
      </c>
      <c r="I6" t="s">
        <v>36</v>
      </c>
      <c r="J6" t="s">
        <v>37</v>
      </c>
      <c r="K6" t="s">
        <v>37</v>
      </c>
      <c r="L6" t="s">
        <v>37</v>
      </c>
      <c r="M6" t="s">
        <v>37</v>
      </c>
      <c r="N6" t="s">
        <v>37</v>
      </c>
      <c r="O6" t="s">
        <v>37</v>
      </c>
    </row>
    <row r="7" spans="1:15" x14ac:dyDescent="0.25">
      <c r="A7" t="s">
        <v>482</v>
      </c>
      <c r="B7" t="s">
        <v>483</v>
      </c>
      <c r="C7">
        <v>14557</v>
      </c>
      <c r="D7" t="s">
        <v>36</v>
      </c>
      <c r="E7" t="s">
        <v>37</v>
      </c>
      <c r="F7" t="s">
        <v>37</v>
      </c>
      <c r="G7" t="s">
        <v>36</v>
      </c>
      <c r="H7" t="s">
        <v>37</v>
      </c>
      <c r="I7" t="s">
        <v>37</v>
      </c>
      <c r="J7" t="s">
        <v>37</v>
      </c>
      <c r="K7" t="s">
        <v>37</v>
      </c>
      <c r="L7" t="s">
        <v>37</v>
      </c>
      <c r="M7" t="s">
        <v>37</v>
      </c>
      <c r="N7" t="s">
        <v>37</v>
      </c>
      <c r="O7" t="s">
        <v>37</v>
      </c>
    </row>
    <row r="8" spans="1:15" x14ac:dyDescent="0.25">
      <c r="A8" t="s">
        <v>486</v>
      </c>
      <c r="B8" t="s">
        <v>487</v>
      </c>
      <c r="C8">
        <v>14558</v>
      </c>
      <c r="D8" t="s">
        <v>36</v>
      </c>
      <c r="E8" t="s">
        <v>37</v>
      </c>
      <c r="F8" t="s">
        <v>37</v>
      </c>
      <c r="G8" t="s">
        <v>36</v>
      </c>
      <c r="H8" t="s">
        <v>37</v>
      </c>
      <c r="I8" t="s">
        <v>37</v>
      </c>
      <c r="J8" t="s">
        <v>37</v>
      </c>
      <c r="K8" t="s">
        <v>37</v>
      </c>
      <c r="L8" t="s">
        <v>37</v>
      </c>
      <c r="M8" t="s">
        <v>37</v>
      </c>
      <c r="N8" t="s">
        <v>37</v>
      </c>
      <c r="O8" t="s">
        <v>37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J37"/>
  <sheetViews>
    <sheetView topLeftCell="A16" zoomScale="86" zoomScaleNormal="86" workbookViewId="0">
      <selection activeCell="F23" sqref="F23"/>
    </sheetView>
  </sheetViews>
  <sheetFormatPr baseColWidth="10" defaultRowHeight="18.95" customHeight="1" x14ac:dyDescent="0.25"/>
  <cols>
    <col min="1" max="1" width="25.42578125" customWidth="1"/>
    <col min="2" max="2" width="17.7109375" customWidth="1"/>
    <col min="3" max="3" width="20.5703125" customWidth="1"/>
    <col min="4" max="4" width="19.5703125" customWidth="1"/>
    <col min="5" max="5" width="17.7109375" customWidth="1"/>
    <col min="8" max="8" width="12.5703125" customWidth="1"/>
    <col min="9" max="9" width="15.42578125" customWidth="1"/>
    <col min="10" max="10" width="19.42578125" customWidth="1"/>
  </cols>
  <sheetData>
    <row r="1" spans="1:10" ht="18.95" customHeight="1" x14ac:dyDescent="0.25">
      <c r="A1" s="55" t="s">
        <v>66</v>
      </c>
      <c r="B1" s="56"/>
      <c r="C1" s="56"/>
      <c r="D1" s="56"/>
      <c r="E1" s="56"/>
      <c r="F1" s="56"/>
    </row>
    <row r="2" spans="1:10" ht="18.95" customHeight="1" x14ac:dyDescent="0.25">
      <c r="A2" s="56"/>
      <c r="B2" s="56"/>
      <c r="C2" s="56"/>
      <c r="D2" s="56"/>
      <c r="E2" s="56"/>
      <c r="F2" s="56"/>
    </row>
    <row r="4" spans="1:10" ht="18.95" customHeight="1" thickBot="1" x14ac:dyDescent="0.3"/>
    <row r="5" spans="1:10" ht="18.95" customHeight="1" x14ac:dyDescent="0.25">
      <c r="A5" s="12" t="s">
        <v>55</v>
      </c>
      <c r="B5" s="6" t="s">
        <v>39</v>
      </c>
      <c r="C5" s="6" t="s">
        <v>40</v>
      </c>
      <c r="D5" s="6" t="s">
        <v>41</v>
      </c>
      <c r="E5" s="6" t="s">
        <v>42</v>
      </c>
      <c r="F5" s="6" t="s">
        <v>43</v>
      </c>
      <c r="G5" s="6" t="s">
        <v>44</v>
      </c>
      <c r="H5" s="6" t="s">
        <v>45</v>
      </c>
      <c r="I5" s="45" t="s">
        <v>436</v>
      </c>
      <c r="J5" s="51" t="s">
        <v>437</v>
      </c>
    </row>
    <row r="6" spans="1:10" ht="18.95" customHeight="1" x14ac:dyDescent="0.25">
      <c r="A6" s="17" t="s">
        <v>443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 s="46" t="s">
        <v>37</v>
      </c>
      <c r="J6" s="49" t="s">
        <v>488</v>
      </c>
    </row>
    <row r="7" spans="1:10" ht="18.95" customHeight="1" x14ac:dyDescent="0.25">
      <c r="A7" s="17" t="s">
        <v>46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s="46" t="s">
        <v>37</v>
      </c>
      <c r="J7" s="49" t="s">
        <v>488</v>
      </c>
    </row>
    <row r="8" spans="1:10" ht="18.95" customHeight="1" x14ac:dyDescent="0.25">
      <c r="A8" s="17" t="s">
        <v>47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s="46" t="s">
        <v>37</v>
      </c>
      <c r="J8" s="49" t="s">
        <v>488</v>
      </c>
    </row>
    <row r="9" spans="1:10" ht="18.95" customHeight="1" x14ac:dyDescent="0.25">
      <c r="A9" s="17" t="s">
        <v>444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 s="46" t="s">
        <v>37</v>
      </c>
      <c r="J9" s="49">
        <v>0</v>
      </c>
    </row>
    <row r="10" spans="1:10" ht="18.95" customHeight="1" x14ac:dyDescent="0.25">
      <c r="A10" s="17" t="s">
        <v>48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s="46" t="s">
        <v>37</v>
      </c>
      <c r="J10" s="49" t="s">
        <v>488</v>
      </c>
    </row>
    <row r="11" spans="1:10" ht="18.95" customHeight="1" thickBot="1" x14ac:dyDescent="0.3">
      <c r="A11" s="17" t="s">
        <v>49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 s="46" t="s">
        <v>37</v>
      </c>
      <c r="J11" s="50">
        <v>0</v>
      </c>
    </row>
    <row r="12" spans="1:10" ht="18.95" customHeight="1" x14ac:dyDescent="0.25">
      <c r="A12" s="8"/>
      <c r="J12" s="8"/>
    </row>
    <row r="13" spans="1:10" ht="18.95" customHeight="1" x14ac:dyDescent="0.25">
      <c r="A13" s="58" t="s">
        <v>53</v>
      </c>
      <c r="B13" s="58"/>
      <c r="C13" s="58"/>
      <c r="D13" s="58"/>
      <c r="E13" s="58"/>
      <c r="F13" s="58"/>
    </row>
    <row r="14" spans="1:10" ht="18.95" customHeight="1" x14ac:dyDescent="0.25">
      <c r="A14" s="58"/>
      <c r="B14" s="58"/>
      <c r="C14" s="58"/>
      <c r="D14" s="58"/>
      <c r="E14" s="58"/>
      <c r="F14" s="58"/>
    </row>
    <row r="15" spans="1:10" ht="18.95" customHeight="1" thickBot="1" x14ac:dyDescent="0.3">
      <c r="A15" s="8"/>
      <c r="B15" s="8"/>
      <c r="C15" s="8"/>
      <c r="D15" s="8"/>
      <c r="E15" s="8"/>
      <c r="F15" s="8"/>
    </row>
    <row r="16" spans="1:10" ht="18.95" customHeight="1" thickBot="1" x14ac:dyDescent="0.3">
      <c r="A16" s="42" t="s">
        <v>63</v>
      </c>
      <c r="B16" s="43" t="s">
        <v>58</v>
      </c>
      <c r="C16" s="8"/>
      <c r="D16" s="8"/>
      <c r="E16" s="8"/>
      <c r="F16" s="8"/>
    </row>
    <row r="17" spans="1:10" ht="18.95" customHeight="1" x14ac:dyDescent="0.25">
      <c r="A17" s="8"/>
      <c r="B17" s="8"/>
      <c r="C17" s="8"/>
      <c r="D17" s="8"/>
      <c r="E17" s="8"/>
      <c r="F17" s="8"/>
    </row>
    <row r="18" spans="1:10" ht="18.95" customHeight="1" x14ac:dyDescent="0.25">
      <c r="A18" s="12" t="s">
        <v>55</v>
      </c>
      <c r="B18" s="18" t="s">
        <v>54</v>
      </c>
      <c r="C18" s="18" t="s">
        <v>463</v>
      </c>
      <c r="D18" s="18" t="s">
        <v>449</v>
      </c>
      <c r="E18" s="47"/>
      <c r="F18" s="8"/>
      <c r="J18" s="8"/>
    </row>
    <row r="19" spans="1:10" ht="18.95" customHeight="1" x14ac:dyDescent="0.25">
      <c r="A19" s="13" t="s">
        <v>443</v>
      </c>
      <c r="B19" s="19" t="s">
        <v>461</v>
      </c>
      <c r="C19" s="19" t="s">
        <v>464</v>
      </c>
      <c r="D19" s="19" t="s">
        <v>462</v>
      </c>
      <c r="E19" s="48"/>
      <c r="F19" s="23"/>
      <c r="I19" s="22"/>
    </row>
    <row r="20" spans="1:10" ht="18.95" customHeight="1" x14ac:dyDescent="0.25">
      <c r="A20" s="13" t="s">
        <v>46</v>
      </c>
      <c r="B20" s="19" t="s">
        <v>451</v>
      </c>
      <c r="C20" s="19" t="s">
        <v>491</v>
      </c>
      <c r="D20" s="19" t="s">
        <v>462</v>
      </c>
      <c r="E20" s="48"/>
    </row>
    <row r="21" spans="1:10" ht="18.95" customHeight="1" x14ac:dyDescent="0.25">
      <c r="A21" s="13" t="s">
        <v>47</v>
      </c>
      <c r="B21" s="19" t="s">
        <v>489</v>
      </c>
      <c r="C21" s="19" t="s">
        <v>490</v>
      </c>
      <c r="D21" s="19" t="s">
        <v>462</v>
      </c>
      <c r="E21" s="48"/>
      <c r="F21" s="22"/>
    </row>
    <row r="22" spans="1:10" ht="18.95" customHeight="1" x14ac:dyDescent="0.25">
      <c r="A22" s="13" t="s">
        <v>444</v>
      </c>
      <c r="B22" s="19" t="s">
        <v>464</v>
      </c>
      <c r="C22" s="19" t="s">
        <v>450</v>
      </c>
      <c r="D22" s="19" t="s">
        <v>462</v>
      </c>
      <c r="E22" s="48"/>
    </row>
    <row r="23" spans="1:10" ht="18.95" customHeight="1" x14ac:dyDescent="0.25">
      <c r="A23" s="13" t="s">
        <v>48</v>
      </c>
      <c r="B23" s="19" t="s">
        <v>490</v>
      </c>
      <c r="C23" s="19" t="s">
        <v>492</v>
      </c>
      <c r="D23" s="19" t="s">
        <v>462</v>
      </c>
      <c r="E23" s="48"/>
    </row>
    <row r="24" spans="1:10" ht="18.95" customHeight="1" x14ac:dyDescent="0.25">
      <c r="A24" s="13" t="s">
        <v>49</v>
      </c>
      <c r="B24" s="19" t="s">
        <v>450</v>
      </c>
      <c r="C24" s="19" t="s">
        <v>451</v>
      </c>
      <c r="D24" s="19" t="s">
        <v>438</v>
      </c>
      <c r="E24" s="48"/>
      <c r="F24" s="22"/>
    </row>
    <row r="25" spans="1:10" ht="18.95" customHeight="1" x14ac:dyDescent="0.25">
      <c r="A25" s="8"/>
    </row>
    <row r="27" spans="1:10" ht="18.95" customHeight="1" x14ac:dyDescent="0.25">
      <c r="A27" s="57" t="s">
        <v>67</v>
      </c>
      <c r="B27" s="57"/>
      <c r="C27" s="57"/>
      <c r="D27" s="57"/>
      <c r="E27" s="57"/>
      <c r="F27" s="57"/>
    </row>
    <row r="28" spans="1:10" ht="18.95" customHeight="1" x14ac:dyDescent="0.25">
      <c r="A28" s="57"/>
      <c r="B28" s="57"/>
      <c r="C28" s="57"/>
      <c r="D28" s="57"/>
      <c r="E28" s="57"/>
      <c r="F28" s="57"/>
    </row>
    <row r="29" spans="1:10" ht="18.95" customHeight="1" x14ac:dyDescent="0.25">
      <c r="A29" s="34"/>
      <c r="B29" s="33"/>
      <c r="C29" s="34"/>
      <c r="D29" s="34"/>
      <c r="E29" s="34"/>
      <c r="F29" s="34"/>
    </row>
    <row r="30" spans="1:10" ht="18.95" customHeight="1" thickBot="1" x14ac:dyDescent="0.3">
      <c r="A30" s="8"/>
      <c r="B30" s="8"/>
      <c r="C30" s="8"/>
      <c r="D30" s="8"/>
      <c r="E30" s="8"/>
      <c r="F30" s="8"/>
    </row>
    <row r="31" spans="1:10" ht="18.95" customHeight="1" thickBot="1" x14ac:dyDescent="0.3">
      <c r="A31" s="37" t="s">
        <v>68</v>
      </c>
      <c r="B31" s="41" t="s">
        <v>59</v>
      </c>
      <c r="C31" s="11"/>
      <c r="D31" s="36" t="s">
        <v>64</v>
      </c>
      <c r="E31" s="38">
        <v>10</v>
      </c>
      <c r="F31" s="39">
        <v>20</v>
      </c>
      <c r="G31" s="39">
        <v>30</v>
      </c>
      <c r="H31" s="39">
        <v>40</v>
      </c>
      <c r="I31" s="40">
        <v>50</v>
      </c>
    </row>
    <row r="32" spans="1:10" ht="18.95" customHeight="1" x14ac:dyDescent="0.25">
      <c r="A32" s="11"/>
      <c r="B32" s="33"/>
      <c r="C32" s="11"/>
      <c r="D32" s="8"/>
      <c r="E32" s="8"/>
      <c r="F32" s="8"/>
      <c r="G32" s="8"/>
      <c r="H32" s="8"/>
      <c r="I32" s="8"/>
    </row>
    <row r="33" spans="1:8" ht="18.95" customHeight="1" x14ac:dyDescent="0.25">
      <c r="A33" s="12"/>
      <c r="B33" s="6" t="s">
        <v>39</v>
      </c>
      <c r="C33" s="6" t="s">
        <v>40</v>
      </c>
      <c r="D33" s="6" t="s">
        <v>41</v>
      </c>
      <c r="E33" s="6" t="s">
        <v>42</v>
      </c>
      <c r="F33" s="6" t="s">
        <v>43</v>
      </c>
      <c r="G33" s="6" t="s">
        <v>44</v>
      </c>
      <c r="H33" s="6" t="s">
        <v>45</v>
      </c>
    </row>
    <row r="34" spans="1:8" ht="18.95" customHeight="1" x14ac:dyDescent="0.25">
      <c r="A34" s="12" t="s">
        <v>62</v>
      </c>
      <c r="B34" s="6">
        <v>110</v>
      </c>
      <c r="C34" s="6">
        <v>110</v>
      </c>
      <c r="D34" s="6">
        <v>110</v>
      </c>
      <c r="E34" s="6">
        <v>105</v>
      </c>
      <c r="F34" s="6">
        <v>100</v>
      </c>
      <c r="G34" s="6">
        <v>85</v>
      </c>
      <c r="H34" s="6">
        <v>90</v>
      </c>
    </row>
    <row r="35" spans="1:8" ht="18.95" customHeight="1" x14ac:dyDescent="0.25">
      <c r="A35" s="13" t="s">
        <v>50</v>
      </c>
      <c r="B35">
        <v>-20</v>
      </c>
      <c r="C35">
        <v>-20</v>
      </c>
      <c r="D35">
        <v>-30</v>
      </c>
      <c r="E35">
        <v>-30</v>
      </c>
      <c r="F35">
        <v>-40</v>
      </c>
      <c r="G35">
        <v>-40</v>
      </c>
      <c r="H35">
        <v>-20</v>
      </c>
    </row>
    <row r="36" spans="1:8" ht="18.95" customHeight="1" x14ac:dyDescent="0.25">
      <c r="A36" s="13" t="s">
        <v>52</v>
      </c>
      <c r="B36">
        <v>40</v>
      </c>
      <c r="C36">
        <v>40</v>
      </c>
      <c r="D36">
        <v>30</v>
      </c>
      <c r="E36">
        <v>20</v>
      </c>
      <c r="F36">
        <v>20</v>
      </c>
      <c r="G36">
        <v>20</v>
      </c>
      <c r="H36">
        <v>30</v>
      </c>
    </row>
    <row r="37" spans="1:8" ht="18.95" customHeight="1" x14ac:dyDescent="0.25">
      <c r="A37" s="13" t="s">
        <v>51</v>
      </c>
      <c r="B37">
        <v>20</v>
      </c>
      <c r="C37">
        <v>0</v>
      </c>
      <c r="D37">
        <v>0</v>
      </c>
      <c r="E37">
        <v>-5</v>
      </c>
      <c r="F37">
        <v>-5</v>
      </c>
      <c r="G37">
        <v>-15</v>
      </c>
      <c r="H37">
        <v>5</v>
      </c>
    </row>
  </sheetData>
  <mergeCells count="3">
    <mergeCell ref="A1:F2"/>
    <mergeCell ref="A27:F28"/>
    <mergeCell ref="A13:F14"/>
  </mergeCells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R34"/>
  <sheetViews>
    <sheetView zoomScale="75" zoomScaleNormal="75" workbookViewId="0">
      <selection activeCell="E30" sqref="E30"/>
    </sheetView>
  </sheetViews>
  <sheetFormatPr baseColWidth="10" defaultColWidth="5.28515625" defaultRowHeight="15" x14ac:dyDescent="0.25"/>
  <cols>
    <col min="1" max="1" width="28.85546875" customWidth="1"/>
    <col min="2" max="13" width="6.7109375" customWidth="1"/>
    <col min="14" max="14" width="5.7109375" customWidth="1"/>
    <col min="15" max="16" width="7.5703125" customWidth="1"/>
    <col min="17" max="17" width="6.85546875" customWidth="1"/>
    <col min="18" max="32" width="5.7109375" customWidth="1"/>
  </cols>
  <sheetData>
    <row r="1" spans="1:24" ht="28.5" x14ac:dyDescent="0.45">
      <c r="B1" s="61" t="s">
        <v>38</v>
      </c>
      <c r="C1" s="61"/>
      <c r="D1" s="61"/>
      <c r="E1" s="61"/>
      <c r="F1" s="61"/>
      <c r="G1" s="61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</row>
    <row r="2" spans="1:24" x14ac:dyDescent="0.25">
      <c r="H2" s="27"/>
      <c r="I2" s="27"/>
      <c r="J2" s="27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</row>
    <row r="3" spans="1:24" x14ac:dyDescent="0.25">
      <c r="A3" s="6" t="s">
        <v>467</v>
      </c>
      <c r="B3" s="66" t="s">
        <v>468</v>
      </c>
      <c r="C3" s="66"/>
      <c r="D3" s="66"/>
      <c r="E3" s="66"/>
      <c r="H3" s="27"/>
      <c r="I3" s="27"/>
      <c r="J3" s="27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</row>
    <row r="4" spans="1:24" x14ac:dyDescent="0.25">
      <c r="A4" s="8"/>
      <c r="B4" s="8"/>
      <c r="C4" s="8"/>
      <c r="D4" s="8"/>
      <c r="E4" s="8"/>
      <c r="F4" s="8"/>
      <c r="G4" s="8"/>
      <c r="H4" s="27"/>
      <c r="I4" s="27"/>
      <c r="J4" s="27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</row>
    <row r="5" spans="1:24" x14ac:dyDescent="0.25">
      <c r="A5" s="8"/>
      <c r="B5" s="27"/>
      <c r="C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</row>
    <row r="6" spans="1:24" ht="15.75" thickBot="1" x14ac:dyDescent="0.3">
      <c r="A6" s="27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</row>
    <row r="7" spans="1:24" ht="15.75" thickBot="1" x14ac:dyDescent="0.3">
      <c r="A7" s="28" t="s">
        <v>57</v>
      </c>
      <c r="B7" s="62" t="s">
        <v>39</v>
      </c>
      <c r="C7" s="63"/>
      <c r="D7" s="63"/>
      <c r="E7" s="63"/>
      <c r="F7" s="64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</row>
    <row r="8" spans="1:24" ht="18" customHeight="1" thickBot="1" x14ac:dyDescent="0.3">
      <c r="A8" s="20" t="s">
        <v>60</v>
      </c>
      <c r="B8" s="32" t="s">
        <v>36</v>
      </c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</row>
    <row r="9" spans="1:24" ht="1.5" customHeight="1" x14ac:dyDescent="0.25">
      <c r="A9" s="8"/>
    </row>
    <row r="10" spans="1:24" ht="14.25" hidden="1" customHeight="1" x14ac:dyDescent="0.45">
      <c r="A10" s="8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</row>
    <row r="11" spans="1:24" ht="15" hidden="1" customHeight="1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</row>
    <row r="12" spans="1:24" ht="15" hidden="1" customHeight="1" x14ac:dyDescent="0.25">
      <c r="A12" s="53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</row>
    <row r="13" spans="1:24" ht="2.25" hidden="1" customHeight="1" x14ac:dyDescent="0.25">
      <c r="A13" s="8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</row>
    <row r="14" spans="1:24" ht="12.75" customHeight="1" x14ac:dyDescent="0.25">
      <c r="A14" s="8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</row>
    <row r="16" spans="1:24" x14ac:dyDescent="0.25">
      <c r="B16" s="60" t="s">
        <v>14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44" x14ac:dyDescent="0.25"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44" x14ac:dyDescent="0.25">
      <c r="A18" s="4"/>
      <c r="B18" s="9" t="s">
        <v>16</v>
      </c>
      <c r="C18" s="5" t="s">
        <v>17</v>
      </c>
      <c r="D18" s="5" t="s">
        <v>18</v>
      </c>
      <c r="E18" s="5" t="s">
        <v>19</v>
      </c>
      <c r="F18" s="5" t="s">
        <v>15</v>
      </c>
      <c r="G18" s="5" t="s">
        <v>20</v>
      </c>
      <c r="H18" s="5" t="s">
        <v>21</v>
      </c>
      <c r="I18" s="5" t="s">
        <v>22</v>
      </c>
      <c r="J18" s="5" t="s">
        <v>23</v>
      </c>
      <c r="K18" s="5" t="s">
        <v>24</v>
      </c>
      <c r="L18" s="5" t="s">
        <v>25</v>
      </c>
      <c r="M18" s="5" t="s">
        <v>26</v>
      </c>
      <c r="N18" s="3"/>
    </row>
    <row r="19" spans="1:44" x14ac:dyDescent="0.25">
      <c r="A19" s="35" t="s">
        <v>460</v>
      </c>
      <c r="B19" s="44">
        <v>2</v>
      </c>
      <c r="C19" s="44">
        <v>2</v>
      </c>
      <c r="D19" s="44">
        <v>2</v>
      </c>
      <c r="E19" s="44">
        <v>2</v>
      </c>
      <c r="F19" s="44">
        <v>2</v>
      </c>
      <c r="G19" s="44">
        <v>2</v>
      </c>
      <c r="H19" s="44">
        <v>2</v>
      </c>
      <c r="I19" s="44">
        <v>2</v>
      </c>
      <c r="J19" s="44">
        <v>2</v>
      </c>
      <c r="K19" s="44">
        <v>2</v>
      </c>
      <c r="L19" s="44">
        <v>2</v>
      </c>
      <c r="M19" s="44">
        <v>2</v>
      </c>
    </row>
    <row r="20" spans="1:44" x14ac:dyDescent="0.25">
      <c r="A20" s="8"/>
      <c r="B20" s="8"/>
    </row>
    <row r="21" spans="1:44" x14ac:dyDescent="0.25">
      <c r="A21" s="6" t="s">
        <v>27</v>
      </c>
      <c r="B21" s="10">
        <v>1</v>
      </c>
      <c r="C21" s="6">
        <v>7</v>
      </c>
      <c r="D21" s="6">
        <v>14</v>
      </c>
      <c r="E21" s="16">
        <v>21</v>
      </c>
      <c r="F21" s="16">
        <v>28</v>
      </c>
      <c r="G21" s="16">
        <v>35</v>
      </c>
      <c r="H21" s="16">
        <v>42</v>
      </c>
      <c r="I21" s="6" t="s">
        <v>458</v>
      </c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27"/>
      <c r="AH21" s="8"/>
      <c r="AI21" s="8"/>
      <c r="AJ21" s="27"/>
      <c r="AK21" s="8"/>
      <c r="AL21" s="8"/>
      <c r="AM21" s="27"/>
      <c r="AN21" s="8"/>
      <c r="AO21" s="8"/>
      <c r="AP21" s="27"/>
      <c r="AQ21" s="8"/>
      <c r="AR21" s="8"/>
    </row>
    <row r="22" spans="1:44" x14ac:dyDescent="0.25">
      <c r="A22" t="s">
        <v>459</v>
      </c>
      <c r="B22" s="31">
        <v>50</v>
      </c>
      <c r="C22" s="29">
        <v>30</v>
      </c>
      <c r="D22" s="29">
        <v>5</v>
      </c>
      <c r="E22" s="29">
        <v>5</v>
      </c>
      <c r="F22" s="29">
        <v>3</v>
      </c>
      <c r="G22" s="29">
        <v>3</v>
      </c>
      <c r="H22" s="29">
        <v>2</v>
      </c>
      <c r="I22" s="29">
        <v>2</v>
      </c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</row>
    <row r="24" spans="1:44" x14ac:dyDescent="0.25">
      <c r="B24" s="65" t="s">
        <v>439</v>
      </c>
      <c r="C24" s="65"/>
      <c r="D24" s="65"/>
      <c r="E24" s="65"/>
      <c r="F24" s="65"/>
      <c r="G24" s="65"/>
      <c r="H24" s="65"/>
    </row>
    <row r="25" spans="1:44" ht="15.75" customHeight="1" x14ac:dyDescent="0.25">
      <c r="B25" s="65"/>
      <c r="C25" s="65"/>
      <c r="D25" s="65"/>
      <c r="E25" s="65"/>
      <c r="F25" s="65"/>
      <c r="G25" s="65"/>
      <c r="H25" s="65"/>
    </row>
    <row r="26" spans="1:44" ht="21.75" customHeight="1" x14ac:dyDescent="0.25">
      <c r="A26" t="s">
        <v>442</v>
      </c>
      <c r="B26" s="59" t="s">
        <v>473</v>
      </c>
      <c r="C26" s="59"/>
      <c r="D26" s="59"/>
      <c r="E26" s="59"/>
    </row>
    <row r="27" spans="1:44" x14ac:dyDescent="0.25">
      <c r="A27" t="s">
        <v>440</v>
      </c>
      <c r="B27" s="30">
        <v>1</v>
      </c>
    </row>
    <row r="28" spans="1:44" x14ac:dyDescent="0.25">
      <c r="A28" t="s">
        <v>441</v>
      </c>
      <c r="B28" s="30">
        <v>1</v>
      </c>
    </row>
    <row r="34" spans="2:13" x14ac:dyDescent="0.25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</row>
  </sheetData>
  <mergeCells count="6">
    <mergeCell ref="B26:E26"/>
    <mergeCell ref="B16:M17"/>
    <mergeCell ref="B1:G1"/>
    <mergeCell ref="B7:F7"/>
    <mergeCell ref="B24:H25"/>
    <mergeCell ref="B3:E3"/>
  </mergeCells>
  <pageMargins left="0.7" right="0.7" top="0.78740157499999996" bottom="0.78740157499999996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Simulationsergebnisse</vt:lpstr>
      <vt:lpstr>Personaldaten</vt:lpstr>
      <vt:lpstr>Urlaubsplan</vt:lpstr>
      <vt:lpstr>Dienstplan</vt:lpstr>
      <vt:lpstr>Wocheneinteilung</vt:lpstr>
      <vt:lpstr>Sonstiges</vt:lpstr>
    </vt:vector>
  </TitlesOfParts>
  <Company>FB IuM - Angewandte Mathematik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phammerschmidt</dc:creator>
  <cp:lastModifiedBy>rderdau</cp:lastModifiedBy>
  <dcterms:created xsi:type="dcterms:W3CDTF">2018-01-24T10:06:39Z</dcterms:created>
  <dcterms:modified xsi:type="dcterms:W3CDTF">2019-01-18T06:44:11Z</dcterms:modified>
</cp:coreProperties>
</file>